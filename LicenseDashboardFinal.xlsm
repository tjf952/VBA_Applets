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temp\VBA_LicenceMgmt\"/>
    </mc:Choice>
  </mc:AlternateContent>
  <xr:revisionPtr revIDLastSave="0" documentId="13_ncr:1_{6C87C53F-382B-4DD6-9984-482CB96D22F2}" xr6:coauthVersionLast="45" xr6:coauthVersionMax="45" xr10:uidLastSave="{00000000-0000-0000-0000-000000000000}"/>
  <bookViews>
    <workbookView xWindow="-108" yWindow="-108" windowWidth="23256" windowHeight="13176" activeTab="4" xr2:uid="{00000000-000D-0000-FFFF-FFFF00000000}"/>
  </bookViews>
  <sheets>
    <sheet name="Dashboard" sheetId="1" r:id="rId1"/>
    <sheet name="Licenses" sheetId="3" r:id="rId2"/>
    <sheet name="Users" sheetId="2" r:id="rId3"/>
    <sheet name="Assignments" sheetId="4" r:id="rId4"/>
    <sheet name="PivotTables" sheetId="5" r:id="rId5"/>
    <sheet name="Sample" sheetId="8" state="hidden"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178" r:id="rId7"/>
    <pivotCache cacheId="182" r:id="rId8"/>
    <pivotCache cacheId="186"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N6" i="8"/>
  <c r="P6" i="8"/>
  <c r="T6" i="8"/>
  <c r="Q6" i="8"/>
  <c r="AA3" i="8"/>
  <c r="S6" i="8"/>
  <c r="AA2" i="8"/>
  <c r="AE2" i="8"/>
  <c r="R6" i="8"/>
  <c r="V6" i="8"/>
  <c r="U6" i="8"/>
  <c r="AE3" i="8"/>
  <c r="O6" i="8"/>
</calcChain>
</file>

<file path=xl/sharedStrings.xml><?xml version="1.0" encoding="utf-8"?>
<sst xmlns="http://schemas.openxmlformats.org/spreadsheetml/2006/main" count="323" uniqueCount="183">
  <si>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</si>
  <si>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</si>
  <si>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</si>
  <si>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</si>
  <si>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</si>
  <si>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</si>
  <si>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</si>
  <si>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</si>
  <si>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</si>
  <si>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</si>
  <si>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</si>
  <si>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</si>
  <si>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</si>
  <si>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</si>
  <si>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</si>
  <si>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</si>
  <si>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</si>
  <si>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</si>
  <si>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</si>
  <si>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</si>
  <si>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</si>
  <si>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</si>
  <si>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</si>
  <si>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</si>
  <si>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</si>
  <si>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</si>
  <si>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</si>
  <si>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</si>
  <si>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</si>
  <si>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</si>
  <si>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</si>
  <si>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</si>
  <si>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</si>
  <si>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</si>
  <si>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</si>
  <si>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</si>
  <si>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</si>
  <si>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</si>
  <si>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</si>
  <si>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</si>
  <si>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</si>
  <si>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</si>
  <si>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</si>
  <si>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</si>
  <si>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</si>
  <si>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</si>
  <si>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</si>
  <si>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</si>
  <si>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</si>
  <si>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</si>
  <si>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</si>
  <si>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</si>
  <si>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</si>
  <si>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</si>
  <si>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</si>
  <si>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</si>
  <si>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</si>
  <si>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</si>
  <si>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</si>
  <si>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</si>
  <si>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</si>
  <si>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</si>
  <si>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</si>
  <si>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</si>
  <si>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</si>
  <si>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</si>
  <si>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</si>
  <si>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</si>
  <si>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</si>
  <si>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</si>
  <si>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</si>
  <si>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</si>
  <si>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</si>
  <si>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</si>
  <si>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</si>
  <si>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</si>
  <si>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</si>
  <si>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</si>
  <si>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</si>
  <si>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</si>
  <si>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</si>
  <si>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</si>
  <si>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</si>
  <si>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</si>
  <si>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</si>
  <si>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</si>
  <si>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</si>
  <si>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</si>
  <si>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</si>
  <si>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License2Kill</t>
  </si>
  <si>
    <t>Sum of HasLicense</t>
  </si>
  <si>
    <t>James</t>
  </si>
  <si>
    <t>III</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</si>
  <si>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</si>
  <si>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</si>
  <si>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</si>
  <si>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</si>
  <si>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</si>
  <si>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</si>
  <si>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</si>
  <si>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</si>
  <si>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</si>
  <si>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</si>
  <si>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</si>
  <si>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</si>
  <si>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</si>
  <si>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</si>
  <si>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</si>
  <si>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</si>
  <si>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</si>
  <si>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</si>
  <si>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</si>
  <si>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</si>
  <si>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</si>
  <si>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</si>
  <si>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</si>
  <si>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</si>
  <si>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</si>
  <si>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</si>
  <si>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</si>
  <si>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</si>
  <si>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</si>
  <si>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</si>
  <si>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</si>
  <si>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</si>
  <si>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</si>
  <si>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</si>
  <si>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</si>
  <si>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</si>
  <si>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</si>
  <si>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</si>
  <si>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</si>
  <si>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</si>
  <si>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</si>
  <si>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</si>
  <si>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</si>
  <si>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</si>
  <si>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</si>
  <si>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</si>
  <si>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</si>
  <si>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</si>
  <si>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</si>
  <si>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</si>
  <si>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</si>
  <si>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</si>
  <si>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</si>
  <si>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</si>
  <si>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</si>
  <si>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</si>
  <si>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</si>
  <si>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</si>
  <si>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</si>
  <si>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</si>
  <si>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1LT</t>
  </si>
  <si>
    <t>X5X6X7</t>
  </si>
  <si>
    <t>Joe</t>
  </si>
  <si>
    <t>A</t>
  </si>
  <si>
    <t>joe.a.joe@mail.mil</t>
  </si>
  <si>
    <t>PVT</t>
  </si>
  <si>
    <t>NewLicense</t>
  </si>
  <si>
    <t>AAABBB</t>
  </si>
  <si>
    <t>Username</t>
  </si>
  <si>
    <t>LicenseName</t>
  </si>
  <si>
    <t>Bruce Wayne</t>
  </si>
  <si>
    <t>Clark Kent</t>
  </si>
  <si>
    <t>Wallace West</t>
  </si>
  <si>
    <t>Natalia Allanovna</t>
  </si>
  <si>
    <t>Steve Rogers</t>
  </si>
  <si>
    <t>Wade Wilson</t>
  </si>
  <si>
    <t>Bartholomew Allen</t>
  </si>
  <si>
    <t>Victor Doom</t>
  </si>
  <si>
    <t>AAAAAA</t>
  </si>
  <si>
    <t>Richard</t>
  </si>
  <si>
    <t>John</t>
  </si>
  <si>
    <t>Brodie</t>
  </si>
  <si>
    <t>Burke</t>
  </si>
  <si>
    <t>brodie.j.burke.mil@mail.mil</t>
  </si>
  <si>
    <t>richard.j.grayson.mil@mail.mil</t>
  </si>
  <si>
    <t>Jessie</t>
  </si>
  <si>
    <t>Blake</t>
  </si>
  <si>
    <t>Jamison</t>
  </si>
  <si>
    <t>jessie.b.jamison.mil@mail.ml</t>
  </si>
  <si>
    <t>Richard Grayson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</si>
</sst>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6">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5">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3" borderId="5" xfId="0" applyFont="1" applyFill="1" applyBorder="1"/>
    <xf numFmtId="0" fontId="0" fillId="0" borderId="5" xfId="0" applyFont="1" applyBorder="1"/>
    <xf numFmtId="0" fontId="0" fillId="0" borderId="0" xfId="0" applyAlignment="1">
      <alignment horizontal="center" wrapText="1"/>
    </xf>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FF66CC"/>
      <color rgb="FFC896FA"/>
      <color rgb="FF33CCCC"/>
      <color rgb="FF00FFCC"/>
      <color rgb="FF99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[LicenseDashboardFinal.xlsm]PivotTables!PivotTable5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4.2936209060823918E-2"/>
          <c:y val="9.9967124667145621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PivotTables!$A$2:$A$6</c:f>
              <c:strCache>
                <c:ptCount val="4"/>
                <c:pt idx="0">
                  <c:v>Active Duty</c:v>
                </c:pt>
                <c:pt idx="1">
                  <c:v>Army Reserve</c:v>
                </c:pt>
                <c:pt idx="2">
                  <c:v>Contractor</c:v>
                </c:pt>
                <c:pt idx="3">
                  <c:v>National Guard</c:v>
                </c:pt>
              </c:strCache>
            </c:strRef>
          </c:cat>
          <c:val>
            <c:numRef>
              <c:f>PivotTables!$B$2:$B$6</c:f>
              <c:numCache>
                <c:formatCode>General</c:formatCode>
                <c:ptCount val="4"/>
                <c:pt idx="0">
                  <c:v>7</c:v>
                </c:pt>
                <c:pt idx="1">
                  <c:v>1</c:v>
                </c:pt>
                <c:pt idx="2">
                  <c:v>2</c:v>
                </c:pt>
                <c:pt idx="3">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582106584503024"/>
          <c:y val="4.9516788941389667E-2"/>
          <c:w val="0.39980688032725004"/>
          <c:h val="0.90969204765634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Pt>
            <c:idx val="10"/>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15-A02D-4D53-9206-75AB76C861C4}"/>
              </c:ext>
            </c:extLst>
          </c:dPt>
          <c:dLbls>
            <c:dLbl>
              <c:idx val="4"/>
              <c:delete val="1"/>
              <c:extLst>
                <c:ext xmlns:c15="http://schemas.microsoft.com/office/drawing/2012/chart" uri="{CE6537A1-D6FC-4f65-9D91-7224C49458BB}"/>
                <c:ext xmlns:c16="http://schemas.microsoft.com/office/drawing/2014/chart" uri="{C3380CC4-5D6E-409C-BE32-E72D297353CC}">
                  <c16:uniqueId val="{00000009-380F-4CCB-9B50-A594CC209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PivotTables!$D$2:$D$13</c:f>
              <c:strCache>
                <c:ptCount val="11"/>
                <c:pt idx="0">
                  <c:v>2LT</c:v>
                </c:pt>
                <c:pt idx="1">
                  <c:v>COL</c:v>
                </c:pt>
                <c:pt idx="2">
                  <c:v>CPT</c:v>
                </c:pt>
                <c:pt idx="3">
                  <c:v>CSM</c:v>
                </c:pt>
                <c:pt idx="4">
                  <c:v>LTC</c:v>
                </c:pt>
                <c:pt idx="5">
                  <c:v>LTG</c:v>
                </c:pt>
                <c:pt idx="6">
                  <c:v>MAJ</c:v>
                </c:pt>
                <c:pt idx="7">
                  <c:v>N/A</c:v>
                </c:pt>
                <c:pt idx="8">
                  <c:v>SPC</c:v>
                </c:pt>
                <c:pt idx="9">
                  <c:v>1LT</c:v>
                </c:pt>
                <c:pt idx="10">
                  <c:v>PVT</c:v>
                </c:pt>
              </c:strCache>
            </c:strRef>
          </c:cat>
          <c:val>
            <c:numRef>
              <c:f>PivotTables!$E$2:$E$13</c:f>
              <c:numCache>
                <c:formatCode>General</c:formatCode>
                <c:ptCount val="11"/>
                <c:pt idx="0">
                  <c:v>3</c:v>
                </c:pt>
                <c:pt idx="1">
                  <c:v>1</c:v>
                </c:pt>
                <c:pt idx="2">
                  <c:v>2</c:v>
                </c:pt>
                <c:pt idx="3">
                  <c:v>1</c:v>
                </c:pt>
                <c:pt idx="4">
                  <c:v>0</c:v>
                </c:pt>
                <c:pt idx="5">
                  <c:v>1</c:v>
                </c:pt>
                <c:pt idx="6">
                  <c:v>1</c:v>
                </c:pt>
                <c:pt idx="7">
                  <c:v>0</c:v>
                </c:pt>
                <c:pt idx="8">
                  <c:v>2</c:v>
                </c:pt>
                <c:pt idx="9">
                  <c:v>0</c:v>
                </c:pt>
                <c:pt idx="10">
                  <c:v>0</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9080838530808144"/>
          <c:y val="3.5109273401126365E-2"/>
          <c:w val="0.39100037977892127"/>
          <c:h val="0.94570688086099786"/>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PivotTables!$G$2:$G$12</c:f>
              <c:strCache>
                <c:ptCount val="10"/>
                <c:pt idx="0">
                  <c:v>Avengers</c:v>
                </c:pt>
                <c:pt idx="1">
                  <c:v>DontUseMe</c:v>
                </c:pt>
                <c:pt idx="2">
                  <c:v>JusticeLeague</c:v>
                </c:pt>
                <c:pt idx="3">
                  <c:v>License2Kill</c:v>
                </c:pt>
                <c:pt idx="4">
                  <c:v>RandomLicense</c:v>
                </c:pt>
                <c:pt idx="5">
                  <c:v>SpeedForce</c:v>
                </c:pt>
                <c:pt idx="6">
                  <c:v>WorldDomination</c:v>
                </c:pt>
                <c:pt idx="7">
                  <c:v>Robot</c:v>
                </c:pt>
                <c:pt idx="8">
                  <c:v>Robot2</c:v>
                </c:pt>
                <c:pt idx="9">
                  <c:v>NewLicense</c:v>
                </c:pt>
              </c:strCache>
            </c:strRef>
          </c:cat>
          <c:val>
            <c:numRef>
              <c:f>PivotTables!$H$2:$H$12</c:f>
              <c:numCache>
                <c:formatCode>General</c:formatCode>
                <c:ptCount val="10"/>
                <c:pt idx="0">
                  <c:v>3</c:v>
                </c:pt>
                <c:pt idx="1">
                  <c:v>2</c:v>
                </c:pt>
                <c:pt idx="2">
                  <c:v>2</c:v>
                </c:pt>
                <c:pt idx="3">
                  <c:v>1</c:v>
                </c:pt>
                <c:pt idx="4">
                  <c:v>2</c:v>
                </c:pt>
                <c:pt idx="5">
                  <c:v>0</c:v>
                </c:pt>
                <c:pt idx="6">
                  <c:v>0</c:v>
                </c:pt>
                <c:pt idx="7">
                  <c:v>1</c:v>
                </c:pt>
                <c:pt idx="8">
                  <c:v>2</c:v>
                </c:pt>
                <c:pt idx="9">
                  <c:v>1</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PivotTables!$G$2:$G$12</c:f>
              <c:strCache>
                <c:ptCount val="10"/>
                <c:pt idx="0">
                  <c:v>Avengers</c:v>
                </c:pt>
                <c:pt idx="1">
                  <c:v>DontUseMe</c:v>
                </c:pt>
                <c:pt idx="2">
                  <c:v>JusticeLeague</c:v>
                </c:pt>
                <c:pt idx="3">
                  <c:v>License2Kill</c:v>
                </c:pt>
                <c:pt idx="4">
                  <c:v>RandomLicense</c:v>
                </c:pt>
                <c:pt idx="5">
                  <c:v>SpeedForce</c:v>
                </c:pt>
                <c:pt idx="6">
                  <c:v>WorldDomination</c:v>
                </c:pt>
                <c:pt idx="7">
                  <c:v>Robot</c:v>
                </c:pt>
                <c:pt idx="8">
                  <c:v>Robot2</c:v>
                </c:pt>
                <c:pt idx="9">
                  <c:v>NewLicense</c:v>
                </c:pt>
              </c:strCache>
            </c:strRef>
          </c:cat>
          <c:val>
            <c:numRef>
              <c:f>PivotTables!$I$2:$I$12</c:f>
              <c:numCache>
                <c:formatCode>General</c:formatCode>
                <c:ptCount val="10"/>
                <c:pt idx="0">
                  <c:v>6</c:v>
                </c:pt>
                <c:pt idx="1">
                  <c:v>2</c:v>
                </c:pt>
                <c:pt idx="2">
                  <c:v>5</c:v>
                </c:pt>
                <c:pt idx="3">
                  <c:v>2</c:v>
                </c:pt>
                <c:pt idx="4">
                  <c:v>2</c:v>
                </c:pt>
                <c:pt idx="5">
                  <c:v>2</c:v>
                </c:pt>
                <c:pt idx="6">
                  <c:v>2</c:v>
                </c:pt>
                <c:pt idx="7">
                  <c:v>1</c:v>
                </c:pt>
                <c:pt idx="8">
                  <c:v>2</c:v>
                </c:pt>
                <c:pt idx="9">
                  <c:v>1</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77421762244916603"/>
          <c:y val="0.17006637421205742"/>
          <c:w val="0.21268672622418716"/>
          <c:h val="0.531612612027736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14</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Licenses!$D$2:$D$26</c15:sqref>
                  </c15:fullRef>
                </c:ext>
              </c:extLst>
              <c:f>(Licenses!$D$2:$D$19,Licenses!$D$22:$D$26)</c:f>
              <c:numCache>
                <c:formatCode>m/d/yyyy</c:formatCode>
                <c:ptCount val="23"/>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44136</c:v>
                </c:pt>
                <c:pt idx="19">
                  <c:v>44150</c:v>
                </c:pt>
                <c:pt idx="20">
                  <c:v>44119</c:v>
                </c:pt>
                <c:pt idx="21">
                  <c:v>43831</c:v>
                </c:pt>
                <c:pt idx="22">
                  <c:v>43831</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Licenses!$E$2:$E$26</c15:sqref>
                  </c15:fullRef>
                </c:ext>
              </c:extLst>
              <c:f>(Licenses!$E$2:$E$19,Licenses!$E$22:$E$26)</c:f>
              <c:numCache>
                <c:formatCode>0.00</c:formatCode>
                <c:ptCount val="23"/>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49</c:v>
                </c:pt>
                <c:pt idx="19">
                  <c:v>61</c:v>
                </c:pt>
                <c:pt idx="20">
                  <c:v>2993</c:v>
                </c:pt>
                <c:pt idx="21">
                  <c:v>3685</c:v>
                </c:pt>
                <c:pt idx="22">
                  <c:v>1</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ullRef>
                          <c15:sqref>Licenses!$C$2:$C$26</c15:sqref>
                        </c15:fullRef>
                        <c15:formulaRef>
                          <c15:sqref>(Licenses!$C$2:$C$19,Licenses!$C$22:$C$26)</c15:sqref>
                        </c15:formulaRef>
                      </c:ext>
                    </c:extLst>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uri="{02D57815-91ED-43cb-92C2-25804820EDAC}">
                        <c15:fullRef>
                          <c15:sqref>Licenses!$F$2:$F$26</c15:sqref>
                        </c15:fullRef>
                        <c15:formulaRef>
                          <c15:sqref>(Licenses!$F$2:$F$19,Licenses!$F$22:$F$26)</c15:sqref>
                        </c15:formulaRef>
                      </c:ext>
                    </c:extLst>
                    <c:numCache>
                      <c:formatCode>m/d/yyyy</c:formatCode>
                      <c:ptCount val="23"/>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44185</c:v>
                      </c:pt>
                      <c:pt idx="19">
                        <c:v>44211</c:v>
                      </c:pt>
                      <c:pt idx="20">
                        <c:v>47112</c:v>
                      </c:pt>
                      <c:pt idx="21">
                        <c:v>47516</c:v>
                      </c:pt>
                      <c:pt idx="22">
                        <c:v>43832</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ln>
            <a:solidFill>
              <a:schemeClr val="bg1"/>
            </a:solidFill>
          </a:ln>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[LicenseDashboardFinal.xlsm]Sample!PivotTable4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1Htpb9y4svZfCfL5ysNNpHhw5gAvpd7b7T128kVwbIfUvlHrr7/VchLHnsxyXgxwMQhCs4pFiWKR
xaqn2P9+GP71kD7d1++GLM2bfz0Mv7431pb/+uWX5sE8ZffNSRY91EVTfLEnD0X2S/HlS/Tw9Mtj
fd9Huf6FIMx+eTD3tX0a3v/n3/A0/VTsi4d7GxX5RftUj5dPTZva5g/aftr07v4xi/IgamwdPVj8
63u/yPOnBxs9tPb9u6fcRna8HsunX9+/Enz/7pe3j/vNq9+lMDrbPkJfhk9c4WJXYO66RFDG3r9L
i1x/bXYEORHUIx4m7reXHu4z6PgXRzOP5f7xsX5qGvii+e+bzq+GD23X7989FG1ujzOnYRJ/fX+T
R/bp8d2VvbdPzft3UVP4zwJ+cfyGm6v5o395Pff/+fcbBkzDG84P6nk7Z3/W9BvtnN5H+dO3Kfob
9OKeUMY5wy5DP9MLlycEc8yQYAIJRDH99u5n9fzpcH6umK/d3qjkdPGPVMnhqX+3faqbp/Hb3PwN
ekEnmEokXYo4lZx5b/cLO+HCc2G7CEoYwZ737d3PevlrY/q5cn7s+0ZDh+0/VkMfizr5Nkd/g37I
iaSSUOwJ4rqeK9/qxz3hBCHmuYRIJgmW3979op8/G9Hva+e551vdfPzH6mZ9n5WNieq/07DRE+65
HEvqMsI8xMSbA+d4IAlOuQAVvjlzjhvgLw3p9zX0Q/e3alr/I9V0aeAMfLdp0vv88dtS/hu2EYZt
4hFJkEcFQ4S+3UagJbBtiLOj9wDWEH979/M2+quj+rmiXvd+o6fLzT9CT3/swvzovr2S/C/dNypP
XERdFzOPgqtA5JvdJOUJwh5FRGJx3Gz8jbl741n9/rB+rqg33V99yT/FbWua+wfTNk/Wgmv54wS8
Wnf/pV4YOcGCgGI4bBPXnef9lVsN+wu5CFHqcgnF8Zh6fvc39+0vDuvnejm9f9X91Zf8+v70//0j
dtCrUUP88+Gpzorcfpuov8HIsRMkXAL/KJGuJ3/jy5ETzgmX3KNgBT2J+Ld3PyvpLwzo5+r53vHV
J8IXXv8jFXP+lOfNmHb3eXT/bYb+Bu2gE09yLoWUR8M1OwOvtpA4Ab14UgjYSOK3AepfHdXPVfS6
9xs9nf8fbaDfD1+/h/jBvb1fzNjADxHsH7fOEwCgxZuu7/7AFj43bR5/fS+EhAjnO+RwfMbXjs97
5CcwwUu3p/vG/vreEfjkuLswB4vJKWANEMv2T89N9AT8eAGGUngMC3k8v/KitgaQC3KC4OCj4Csy
Ip6Ri6Zo5yZ0ImHtuB4YYIGJJ/F3ZOa8SEdd5N9n5Cv9Lm+z8yLKbfPr+3mllc9yx7G6zBMUYgoE
7ioWYLQJev+ufLi/BPgHxPH/uGQEI1FE3bpO0drYUPutrvYsEpFvplz6rrV31vmS1PTSQ12symKy
i7wdpJ/EvFG5lzIVOY3nd15+WxbsDFnv2uu8ZKvzMtx11ZehTfedxxolHH6IirRXKNqkyMmViDvp
jy0blNQSyC4cVFqwVT56kZ/zsFb5dBPJNlYjng7YOBeldCK/pOK+GZIbIclFiilSSPenzKkzJc7R
wg17G5BSK1yJQWkMg6yzbN/3y5Di+xjnpT8WSYCGm9CbYp9E7EKOl10qr+veDZwpv64n88XU/MDd
+HPby7OGm9O+DveDzbcJqg8Jnjq/tNmk2pYjv+zqu8mU1yYsLruw+tik9WpEw6JBtg2yUHxg1Jy3
IvnS1TB47pZ3aRF9KbSlaihgmgUnF7x0d7WL9ySHeUo0jFmL+o4VizIyS5qRVRg2i7jPD1bWC0Dt
Vp7LDp2M79IuXGncEz+ZGhTo/JFW8aKuvU2EYNrCpogVhS5x6Jaqk+FC24wqkSYLysdTkjiD4hy0
ypK1x5hKTFb5qIIxpF1JFYrTNWJ5oEmvBsO9RYm8DRv4p1DYh7CGflE3lSqNHb/os12UZ65vQtIo
Pq8Up6kUnz5hPgUxq8tlYlKkkkFveMUjv0vYxSTSCdRJ1scHxyz01KztsHEeWXmrR5iHMqV2UQ3e
bdySUTXx4AW6SC8aXW3dauj8LPYj3k8qKXN34/ZV0HeDaliTqajpD20uK0WnfNFWdRPQkoPiJ32T
NHJQoWi9QBb5l4ZOcpHG+bqI9CESsHTg/8p6jata0WDfFuK2tl63k6l+CFMHK1vL61jUgHDqU00L
1aSDL0zbqwbFsW+yeFoy63kKi/Hc6fADqR9wEjmXpAkDnEqjdFuigJqgkjz03XDLJpQsayGitRy2
vVdTRRsYa++KTReKjelyf94soZSDj0y3mCrM/Al9KUWHAjzSi6yDPVMjeV0N+jaa0kMSgX4xTBBy
L7qoJj7B+qKyebRMxjANWNaouMrhM8uljpnxx7AcNiR9GLrQL8u8C3hOLqW1tdKXqG+tj6Q4kCLr
fa9KVZvKp9AuTJRdloQucD6uUoa+8JAPaiLHjVclm9QMWmWuexjG5MsgE6oIgVmpSXHr9muTFipk
CewEdIt5sYU1OqgOO3nA6j3rYYmIrij9LANd6bwu1NTrO1w0XmAL3sEybaRfN/VdH3OsnE2mvVx1
KWwxBzad76FVVWb7kMJyiOi1kHWsujJZazxtp+RzUull4mU+qWCuWxgFwvoLq3HQ9ks2RdfRNCxx
gs89Y0rfE7Bp6q4clMlqlRTZpmKDA0S4s1Qki9RAO/fizxSLRoFt9FRfhXd5bcZ1CyoEnPOa1NTx
PdYuoCVXpYykiqohCVIO9pTmYeRr01fK7dOFFM2dSOC9XFRUga1dmWbce2A9Ey5ivy/P8xIsUNZ4
eFllfa3KJPvsgCHzY1ttshIMSy4y6RfGT0njLkpdIUUQVSUyfFmn+LL1aOrHumrXWROXPin7WPX1
2PmSHPdsW1ZqjMRhiMFYFnV9Twr5hQxp4jtNGjSmGoKwGlWRlOGqYM7Oa5xhZTU9T8y0rQ0lC1rB
B0nzoWnAHCWiIP7Y033Uxzl8T9EEVdMaJS1b1nGUw2GQnFKYCOVm3qkOdyiykZIRvXKYXQzWYb43
McVwUgQoTr7QIgt94+TFsjPuoXdAgx1zGz/XvFVdngtlRu8Gte668LDxsauqU5TVvSrauFAoa5tA
igLMW9a7Suh2oQ3KV31omT8k3aLDOQq6xCv8nslzTMmS0TMnA1U4Yb4nZfiQEOFrjJPAlPFjm6dX
tAdtJe5db/tMTSKZlkVZy1U1lp/LBME3N+51B4evz6mBrZd6o3KI9imD5XK0JbohF2OdxIGW9lKk
5grV7ePQDjc1T4nyrAVjwfW5SB7nVT7ItU2MUXHdKctXPesNrIYxUqUoziIaLb2sB3Obs3pTUW9Q
84HlGlDJ5MBAC6cJ/a6pchVK2vmxG32mXXk2jPZetPkXw7JVPLUfiwqWAcbpI3JgL2bUSl+TbJUx
4i6ijm3CBnW+Jx1XpcjsqlhWu6EJV+7griqw9mPYbhwdjSok/DD14rTvkR/GCCxw2BG/MuGijdwF
OEdwTk3oCXH7wZt0pEw6Xkw0G9WUVx+jdhKq1HAYOTgBUz5gpASHvTx1dQ2HU3pwGgnflXvgX8TZ
PeqT27pEWzzlKhrgnExgsyH05DIT+144fLIh0Sphqfa5vmeMdX5X7t3+o7FFGtS126gQV5OqB4v8
noOxkQnfyBZ6C2vzJW7ytc4iFNR94zupBiOlsV20JRifXjjXTTeBqfA0VWFLLrq29qt2GJbT0UDy
gRvVNXASI4pSP+121RCqSseTCjv4iL7FYJNNr1cjEyrFBypArymyy0ykVM3HIWweqgrwONKj9xVH
pRocvOoiMIiOdq6n0d4NyZRsh6Jlfl6DsXXZBXKSIMLILGULJ6Whp64tjv4buA2OW145PXyLkae0
wSFYtxQFpkL5vsELXTjmcHRdopKciqZxlCD4ME7obl45khYFrIDa95xxa3KHL8TgFKqFI27Jcp4s
konVqnaas74Lb6M4W6fMrZQ+SEETWEgs991B2GAw4TmZehPYWID+UahiXJpFYUdVQ2bK63G1jVxe
LisU3tvWdRddZxamDWMlVFGJD1kBrlLigJvFk6UrQyUKGytedvHSYnYJU56vCed2Z8nwtajGwu7q
vmuUO9Y5uEwLPnRyS3Gz8myJ1+CBfzQVh1NC26Bpstk57rd1LfGiL9LbFA2BcZrj0y5dI+61cOOl
V5YkU2E94a1uoHimUTOlQd7FXJFyCremSM/imA1BS9GV57XNthxps8V51mwLsbSejhdRizvVs7rd
ui1qt2UUt9uZnIv22BAuR920W84+9zixW+GIZssrW/h87Ce/jYjZJZl3xvjoLpOG2630aqnqGHPf
oc1OktpbOnbJvZ6sJxEthoYdcGbwCkXcVSYJTcBYFWM/Tlq5yki+apilqcqPY8lhHreQdL5xa5ku
q7mhSmDJ2ah2wPPWdjtZrLdju4iq7qhPrWEnhdMmaqTy2jrZmfwwJhYtcqKJ4iPWe8HtvmxN69dp
WIHT3uh9aNO9UxC0oobyrZe2fCsZXRjOhjV3rKrz/Cp0n/iQh1fNRMEBk91DUdTd3gjU7aeL1PBD
WdFE0dRzt/CWG24+lZ7mWxq6KtJdukltnC6qGhaM16Bha7vQwf5cTQQBF4enX2YqKtMEPH4xKTzF
V3HG+22M62E711Kh3FzoneCi3MVF1C4HIj7mztQGFSxWf2r5nUC8WRYE021vErrliMpMvdBk0GTB
c/OY2ZFsUTSITD1XWcL8USTgO4bwHqcuyRY7Ic9UauQu65soADcnAXvnTasiI/uq6JxdHbNyq93c
nynSRxBOSc1zf/C6Mui81NnNRXMUfib78gONwnDJCysWEKhEqshsv7PS4gXpy1QhwbtdhjqIDQU4
AUke9XseGqEocZkaa33IJuTusCfdXZXl/LkWsloEzDpUzbxZpK3Cbd5MW8xjtpg59NiJ5zls3roc
/LZBp5i6p2Efd08lDLYcUP0xqcM88FzED30YZhDRtN2ur3p+OjrOPp7AC59YfxXZxjnYzN3lPRlU
Rft0V4kWXztNLgNScL2aSXcyB5qZciF68M3KHpHrNIrxvpkGo/ouLfwRZ+UylZ4ObET7T+WkV2IQ
yUXiksSvk+Fj1orsQ9lKd5Hm4CAkuQvuOTc+bWG2jeAAin3HF34SruNjNP4mWmccEDvOYbF4kpLX
0XoqHTKxom7XNmvyFQkXx1g1SkYvoLl33dbg1VAEYUk3FopFcHr9/7yfYQ8R7iFB0Ru0QI6MjNKW
7boRw407VYdagDMJgSCNkkdw9knTxKrlZhviafXH7wbo5befLjjmhGFIUntvXg3Ov8OiKW/X6Qhx
4jFgbFp5PaQjVpqN/sTQGplG+/Nbv6JNX6f8GTF5KMqxjrT5ep3lO/mf1VNxBHya+YrFC/s1Cc/4
+tAjTvSK+A1m9Tuo1PNlmt9pfAVZvUpGfIMlj3gOOd5x+b6ifoNYvclpvEBdc7+vkBXnJxJuXQA4
ecwhz4jRM2IFqP8JkwyQKkCWJfkRsAKYC3Ke4hniOl6n+YpWYQ9S1gSyaBITgaUg4r9BqyiGr/lh
EQBSClgokhycbgG5Bbi782b947jOcZ+4TxUtTt0c0ZuhSklQmkmucMfJTc8qEmQTON9zK/Ic/NxK
6pw+t6Zp8rX1Z33nR83CP+uL5X2kCxPorqx2c+GlaVWqF1oOY7UTx+INL9ZT+U3QafY8t8Nas6ne
vxRpKX8kI5Y5uyJZy0rSW12m2Z5yqX3nSFZjjhZ9b8SK8IrdEmEfk9z2Z3qA48mA7yTqeJlM/fjJ
LSs/t1jednoA3yi2NgQ7PrEgDadwN45VuJtrvJThLg81r9ULnYRwWnWwv5MR6QUT4QjxCo114PUT
3g0pFtUS8nd4N9OGt2dOESIIeqJ4PcYsB5tsin16LEw4CD9FJRxlrxtmci54VBf7pEwcQJCO1XIt
dZ/s57Z0GBwI1IZ4ofXYLQc6eYe4qbulLkPvYI61aRgGVUu3CEq8Aj+5+SBR5ZzbtEhW4BwWaii7
4tAdi9BJoBAQxIJr2Ctre0BkFMt4FpSVlitq7QFrOx106bArXETNgnShXtZD7V4ZXfanumxuqiwL
A2SQ210mSdxsBwNgnttctii1l/Ad3TqPoiPAB7y5OO4VCGxjvZlJPhF9+Ued5gelbremdVFs+oEW
gBBE7bjrveTHYuaVALv80DDzOlbefNW5Rw9j3K0Z7tOzmkbmKgwdF3w6jv2acXM1NGBJu74Zgpj0
dlUllu4wJuB8ir5be7iKDu4Q80XuTcUlGTzqu05ibpNUQOQzyG5X5hUKCoAJ/Lhv4g9zLf1ea3on
eua91OCaEVnH4KItcFpHPha5u5ImbCFmP9J93rkrnUm97vDYBt1kKuU0vbkSQ5Kvp7qr1npA3mXZ
dLXqnCx+NEO/sJXJIMobcWCYE0GoQ8K9pgkLQjuGSwiLXJWVocZwUCIXgJiwWJYpKQ5mNMUBibo4
jMeiEgAODBIC2bmh9kaDYd9Ai2Osq7yqfBDtcFqF6ScSZxCAl7Jytkcyz48OXyEmZ0vb4hNsT/ig
72QNUflFM20wnbLd5FpaAfjK8C7O0wTcjKQANKif6mfmc3vc4M+8zMxaZG60KIzD/bZzYm/lOg+O
zYbTRIT0kAEk78UAqH7o0h5ctSo6AmKetqnCbjkq7SbjuZzc4bnIWQA9oh85evAgmqqnFaBy4/kA
mOYAx/0qFTq6KMKCKDLW2UPU6/UQt8Ot29QHkVcr8OrD3VyA1Qt37tGOzGQ2G5MXGhR4Fk55BA4e
jve2w9mpqZkI4LiZ7nSI9rwh/NFE0xWb3Og282S/QG4Y74upzk4jKb+Kdvm0j1lW3P5wFH496X/M
heBjLubV6QJuBWHS5eyYm4OD5nj6/JALETiLWsON95TwKN1EMolTRWRUbp0S8EmbEKDn6lv6regP
9G+qb/s24wS4mh3YgtEJ3bSVvqzccTjLoii+KXo/zJrMD4sxXKRHNc8FQOoMbFiW7PPUPvMzUhiq
5lbv2GNw6nAxy710+97jhe+SCbCKucefv6PK69Mq7/Or0asT1XRFfxGRut6H3MSBy215r5Nuqweq
P2SQqNkwL8yWuvbK+25nI53cN1nRLOFysbfmadJ8cJxsk8WJ6id7NegpP3e4dS8z057qUbR3o+ua
9QQXSRdY2PYu7yoIiOrGnGVuo9e1FtjHNc6UrEfzqQub0c8QGvZd7o1XWVKdiyO/8QazQNkUbqrI
zW+nFvkzv5WxWI42htRKlphP2J714yDuwjF31gDbsMXM1oBz2biMbrT0INRnUxKEvY4+URL/mWvt
HX33F98erlFAou94sRLce/BwYCm+Xn1TTL2GIx49xjihSeTD0QVo2fSJoYn7/UjAZyhDetlOHhzl
xfgJpRJCeW2b/dSM9NJo53aEDbvEfREHYxom+5qiZJ+V9dfazHO87DzJJ71+w59lh5YPjZrlXppj
Xp3XtIYZ/8njZh5q4lVp2gvhAgwztG2/RxB97ZPaixdZMek7y+MzcdzcbuieV5yh21mUGPZVtJvI
D6KFSMVj4dDzuMzwLQ/HYoFLbILaWM2Mcpgzlfm51/Yb2JLLPmYxQHpQQylLNORWzNfa69a3cs4Q
LYekgB6v5QqvwVtSA5jh5RLtHYC7fihkiTcx5fXmDf9FNglLtJ9J7hZ7O2ThGiK0sVUvIi99Z55b
5GekT4f13HVunPlvu2USXToJ6YOhSJbhlI7XcHjGPvZwfcdHwMwj6/WfdWlPp0QbreLEqihy2khl
ABRaV9aXOMpqAP3yGxwP8RkxiNx8pyap6U0UVTeky+IzfKSObTNF4KR6kfxL/abjG74/5eV9Gt4w
U9/bXt53bHuhvo/MzVOxScqoBSApMqdeqQGqd0kRZILp05k3116KZG7QKfM5Hr7K/UzYDGEIlye/
h1Q/OUcE3Ev7cSND7EQp8yA+gTvs8hj0vN7Ig4kcYiDd8xjF6MpOtXfhiTg+bZIQwPbjjgaX4KHN
qXdEp6LT6jvfA37znd9NUe8XFRln+UFE8gf5mU+1eEjD+6iWkKhLp1bB5sb78Puqfa4deWhqqkUc
caakaRAIHhf13DwX82qba7MgnI5MwdUEeOLMfH64h0MAkyaDAqcAp7hKk1LlncwBxQanOCsoWhlE
o2AmEVwMuLA4fqaKowQNdQkYVVbsIvfTZFOA40d3l1YW4GFAlwA6TLKHyjV+DEnETxm4yYsXCe4+
hu626Ty+gQsNibKYg5P1Qpf0z7wB9sYbgKs3EjGwx+AQAPZE3wIOWk6xK0vrfE6aZGHBmYEcRO1V
AS7aIXCihB0I3F04zDWvk8PB+zQzorwEUXZsGzNaBck0fZWfebP8BPnFQ/fQPT/15Vmvn//80igW
X4QdD8mQNRfZsejEpUGsOpeRqC/mAs7kF472suS8jPesJf4AgPFFYlP3SjqdDhoG1yt0KN2rfOLx
jlekUnPrgAf36tiBhXHz3AFCMOgACYO0OWJNx/jZkUkbwNX0Yj2TOqvagKS4WKNjqwm/tc6h+Evr
HIrPrego/KYvhgzZDeSVs81UDl/CkWTnBpn8uXB09ziVCd7MrLmx9dJuE5P6SwbJmPMUkSkY4NY8
fAlcsWuXMdVBd1xKcdck/khG96waUbsTkAVYuE2oPzXC8evQ0LtpCgOtq2IVDq0JwrI2V11FzRVO
hoXU1jmbWUM0FLCySwPp+Ljb1G1PFtK2+dI4Uee7uJBnFZPemTjWSlfDzRM+pZuXhiGR7LRyJn8W
e+HPD2lt3v3QAMHDpChyRHqIQjbturoCdyfpL3FcFueQiXuwoxjuxq7IlwK7kFQqy/EubIsz3nr9
JWQF/8SaYfc18MYEhstLADoiDpcIKQPv+LU58yrS2LHhxedm7L0gD8N6Y7P2EENSf1RDboZTXdTD
6VwrkrzZ8Lo5gDVo3O0sfCSzPoxHJellilJxKosoW5dSmq11+uxUxBNkjvJsuKq9FlIUUZTdi2zY
JW3ZaFWnHtwMSsijGMdY5cg9QOaiPIUQMAf/yBsBlYjBzEwIbhbwdMzPc5EoKaZVm4VEmY4k0ROB
H2EF+Wgyf4L9sH8puImavXcsXnhdDgk6DGCmgJvHC8lCbS+Ljm/ysF5nZKC3NDZFMJYM7pukDr21
3NuHRJaXbTr2l7ENd7Bfkg+lOBNiSvYwlGQ/1+bCm+oREned3RVNitczr5Yd4AtEo9Wz0QXY4jot
IZf6YqZny/5Cvljt77Iza5bgTrkI3c5umlKPu5di6spxl6XZOsssWVOqIb/70vpMCwNwB4c8jRv3
7GzifdDmWXVKj9TMsmCidsgOpzMFC/IrvytQtBxj1PsvvFkEEIBPuB2bVQ8RQv05Bnx60duBb2jO
HZWWo/6Y0ZwCbB6Nu2LM8lsM6d2ZX4RhsRlNHC/ArzMfadGAJwM/vzhjkFu4wMze8CPfheN1mcgh
XOWOyAGCGM3Uq7Aa8Ljrhp5f5bSIbmyxnN0W1uCZmL0PZjxzbJmJ9Cimux/EdLSEvLaBn5D9kYNA
EQCirzwEDD8RgRuB8GsqAscM529gzIH2eSnziX7ODOwX+JGCt58LB26kLasxteqFx4wdO0UgjHqW
ydMU7WHnud97zbJvyFneRWOu0gw+SVT2yjjTuIUbd+BWH4vRRT5jcGy9sHjUIDVWJF9XpGDPYpB3
S5YcwQW/mUf7BAduJaslQPSDXw5NtsFDBdeOuIMWnJaABx7JEjK/68R6JpjJeMwBTSpKq2ayhV+Z
nXWInc4U3BoprrX73HHmZLxbh3EszrWMHmKU5buMQ8gCNwVDNQMoI4ZT6g0PHXnJa7kXnuMC7vmM
1Lzp11Jv3Lk9SdTk6I9tkiUfmq5zFpiYdkdGHZ7yCXVB6iboI1we2yDc8sfXoomo2h07irqQ7Qui
YehXXm0ExO2dOXjHokIQDCBkfBOlBq4WVhlSc+tM995wsAyxjVMTuCQ382TnmkPtJNanZszhqtX3
fpVDxCr1AEWujEnP6GQ/TUKiDzGHM51l4FrNZF32bAUXifLFTDYkjRbU68PVs3AaGp+kXb2bSe1U
d8I17RnXNf5gksaHG6hPbdgCFOVS92p0q+i05PhuRkRnFiA7u6jLojNRSLHXCbtkYwEoWWW9HFLJ
E1IlJsNSkKw4uMdirr20kkoCIv26wQlRsRlw5G3lFIL1se0Yb6uIbcyAMhUTDwDbsdn9L2Vfth0p
znT7RKwFAiG4JefJaaftsl03rHYNQmKQmIen/zfK+pxV7j7d61w0rQgFlMuZSKGIvXe584WD4IVy
E0aTShVWu3B5c5mRCTMRxjQXu2H1IY7R50fNVkSStwEaacxdKSXEq6/UGIlpnE5pz+Mv4XhOWCde
7ZjGhykuCjQ+YZIw95bMt/OdMVVTHLrCiS+ykm9x7f+VOiNbcj8e9mGi8ucmyQ5V1o1fjV/MfuLZ
/+hnOJHtheVOkSmmDX6YroxpKmqmlmYmbkW3m6+dmq2e7J1V2+4pthPgo0hqo2QK83YJP8zYpnlE
S09szCzAHijvm2FVEnmaxC5G6/wkQ1mu+OAVK3dyg9NACxrxvi/fysKbFiLxgfKVffysWzSoB1G+
eanlbSTJmnU92fqtJN5JYGd/DDyATMzt0xz26fa8tZbG7zJUfKiQR1EG1m/Fc1dpGcmcuXtTPEcm
4JwBssDngPL6WLBmQScWr4OWp2fWPoshZkE0zmlCglLVchBWteokyh/GBxofzr/sOWzVH2EFfU17
pMlRoq3wwRsv0xCiE+yEhbVMCbBV1G2BzwrLeJ4s58p53Pnnf98hKNgXf2wQOELOnTZCKOhNIGh8
OkLqdlQMBZDgu8Uzh1oRdUqyMnmzcjZZSyzgCZFxp+m2p9p60sJXj2L8q8vZIa4lP/l+hZL0h6lj
G6clfEjX2eu5gY9LG8UudHHJ0QUgaltrmxzpPHJnnxkZ321W6dja3OLMqBfITotJHHsWogHi4ZVv
gLY9pxP/dTETqsXbfvOZkAkVvoWZ0DQbaFTN9zmz0zzGRJvAMB3D6N9/x/7fj+mgjaE5Ba4sDQga
in/mtZx2wrKHxP1Oi4YvaiGcY/tx8WsAqCNjN1iYUXrjK7cR9f7mKgt8MJno3NUkgMY257q0ziLp
JvXJHPVu50MhPeA6R2B2P02Yu/ANQ1uNiFXThlazU5NA+m+rTi4FyV/LQTg7qmh9roe2PrvzaPYr
QHu219hUeunZa9ND53XkeQJc8x5YYsCbtPvsAh1wP8+VdvDbXD1bntc/KZWNK0Wsclf3Wh7MSPbj
r1H2MbrN3ka8Z/KQkrra/Ptn47h/fwECFvgeUFZ2iF6096nbn7AkzuRoV9/Tpphqb8V0uAac1jpl
QXmvrQHnsNm6upgTA7FXtOOS4yS/yK72x7xMxbjvWbUbi8A6AfFBu80Yqt8eYybMswTgB8AX902E
s59cSDVZb5QUF+A5HZxFjnxsGP4PrOtAivJrH2u+yJrCfrSTaVgVWEJPpbbljoii3AU+sHYpKnYr
p5fVo5sXcjHWCf86PzFJmT0/EeeL9BK4SbXxLMAcm77Mv3k20MtDP75ie41Xk8X6vZP58b2JyCq/
v8uklFFjvq7z13PwWvvIzHe2B+o0oi7P1u3HzC1QkTZbuhx48qJ364dwUFFWDsmjV4bJI+lbshRh
UK+N7yOiGcoUS3t8wZJdPQA2U6xJHItlPZvGJzKWr8sQhWdm2l38wy7QJnowgcZnhTisTXOmZiZu
z8pN16wgXuTUVrP3ymRlMoWWD2jGzRmFyR40dp8D8GWrT34TYSbnO2+JhhmZHKOa7/x47M1v7iRi
uD72Uzpy+zM/HluH6j+O2MHfvuyUQG0BdROf+ljyP6N6Gl/YEpsSgMVjsXQc5gNDOZVoD9roEfpO
kB+MWdLYiWglp6Wa0JCKzPSnQBkkjC2u4SZomJ9hIm/h5pHGNI8MND1nxM3XQqLMJDxXk6iJs/ZO
H4xn6l1Un4ybaRmveW+Dp4OKIolu84CMtBEDs2QzOWK8u07/eoqDFnZUVTldKb7SSAUatGvb6uhI
VeZLMzSX2sriQ85XxrDnk/pvwbewcZ5J7CA8WNlKaI3HGdd1GLcCGxBz43VcZ+pUF8W41mgYgNTR
qZPxmQtFWxMkkDkm6NlR22O185Mm+eW7BSZh8+sJxhdqGkKx4t8OhAxMrz+2e7QibQ/pPQUHaz4a
fiqxtH0cVHY5De9DBXiFHRUD2FHAONIT9qcHRfNYA37s/XQ7AP4maXeP6JXX25SBjWFMc+n0k19M
5cUYRKA25zEkRMZMnIKeuKQPxmrjonvsRPwzzXBwIZ2l79DQ9q7NxXG0VqrvrYNpHF4bhFkQJuuk
AwPgFuea1mHYxqsyBHEq25vNJw+RIaQaIGKz36g/zXAM82XD9BpYI3pyM/VoEBXmAhbDPe8qfWes
GGWuVYZccMUNBENW/i1egfGy6LAx7z05uEszyv0heCrH6tjPzTHj98bU24dNHDyB5fLZ7/Y2tgEp
qkXv2Dz+rx2MzikatkoQ8GYgFnI3vEWASPk2UIo+RRH5z/SC5VZRdkWnv+oYIPMcFbQDgJNFBaic
g+t17MeUHjqm7QUBpnVBzdQ1wExdLxXVG9mLLELzs9x0eZFdc0HoW5RAKyfZylRYY+XrDcD92crU
X/1O/ZqVXa4ewBxaG/yCwTOYUVu3zxVrxe7mv0Eh+v9NmniDibiFhXb/LKf6okgBmH4qnlM5rFiX
T6/EyXAqErmFXaYaX8N+ArsPadZdGvbXMGti3SkfLLIwJSvUh+x1TB1x7Y8Zn7mYWtanjsYt+FNB
7JN5ezIqDeLaxbg9lAzdsXFlcA6H5s70JXPRPzhW2r94FS1XnsyaY2il4dHiY7KyLJm/1m51J2rk
2K3J0Qre8EuMakjk6KY8exTVy57Ye9Rdxle3pvm2Hiuk7LNpwgigTEftdEWk4rFEZjnk97fTCB/z
Z/CL7P31OOL6etiC9ldGJsRcmvnokvjque2Vvb/5b7Hmmddjj0XV9XlSjWJRT0m1QE06vSAZdJZD
TcOVDqm8mAvJxdcp98aDseLeCe7j9NUY5p6ExWQH9ge4ePM9//ScoUjt/yiSgan+txcI1HU0YQAy
cued8dOimA5pnceJ0l+bhOR7bI3JKfNCfgJQKV+kKB8vaU2Lemmc/zRtJhpN3+ra0wez5jXhufV5
dzFGWoETSOIg2RjTGlrnZMfD5brepqn9o1SMH7sqoNvRoWIRDwPtlzJs+dIttVr21ehvS9m+gPk4
rJRIAOCZpvBMvd5h2MLdl6Dw5N74/Lk7IEcLvbi43BhrGr12xtoB29R3GmdYpWovKuLQewiSaWV+
qJyg0WCnfrIyC3es2uQBjeyFr3j/aCIqL8MZqsjUzpgl84N9P/d1jOm44OeWqehBz5uKowbtoEG9
687X43g3lQ22eiex+xVvrWaRBG3hL81UbdlfQx142zHk04JznmzVCFIgHwbnkrC6W07o5Vx4OnbL
YR7J2afigJwsU3hlqROiyiHQSs+Se5oQnFzmSz0f8YwfZft7Y03CBoVOhofAT9n9ZHVvZumoFZ/W
nbbyjVP1/NA20t8lRfzQZEN9MpC1hhTpLgmrGM1KHMrNBeS/hzRl9clYtwgDeTN3fTzDRAg+jJGL
Nz66rYtmsSNOnZya+PsntzFZR5ITOlPGuC2ZZn00c3H7/bZYmlHpnbo6AKt4LjfoQKZHF8flPSr/
AMNI2p9sRwEsE2QD2nuJwC+Vyi9t4nXgAJTqrzJv7sPMi3/6zXtXjCASWY5eKSAIv9eN87Xww+KN
pz4HbTpx95ogyyaWy04jkewkWcNOgtZqVzjpAyhR7rRMZp+ZKIJHP0EVr7OtuYUycLkoOsI3t07c
UGRrFXYnfAseAp543z4GGZdXj/zfYJ5qHHa2ki49+HYWnKykbqeor9BJbKlVoZgMZ+gAwbksm1iv
i56JByEp3Wt7AP2nbUCOqj3Kl5adhmtT3sHqUz3I8ZxZwaYEiO14W/8YfhtrVOzyxXXp6+pLkwTW
ijmAWfYizZ4Q/+rEXvveCnAmOgfnLeqF9Z7Z2l2VFY5xDGRYE6FaRyybqkpPOZged37sgddXMrKz
AoVNd6Yo6JnXUM0XY94uVWlvejdLdjcX6Ej9xgXqfPriVHW7Qc65Qh6Y3BEUBO4HdLLvAwu8IGeY
2KZjnhVHKpDdGsQje2GmvTlQDIlE7ZijxlDKTSCyMHI7N9zIrAKDIi+KY5Y2zroFG+WhA6dtUdOY
vZSMfhsmWvzQIN6yEDC+aOLj1iqr4T21gKUgLejII3rgUdCp6hFcrygkxH/I6qB8VLIVK7tN07WZ
dEXDzrEVrs2kcXGnsEA/1HpnTMvO+gPlFC2aPm00Om3Zcybd7DSVulhqCjzuuqztfCVynEiSDOcb
SGPgGGOGxmku6Tx9HdmEqkgXOP/cYoyJ5dbfBODg7kFTIiwavErsEyFfBzWE57jMw3M3j0oirIWd
6nFlJvpUDdu44mAo5RNbpLHAshIM4yshOLwO7EV3JD7wQYNLiiZdmXty+jIVto0vLpEXc+HWcxuX
MWjdIr00tBgOzlh9vc27lResej2QpfERu/4rUINEosAAMNtkYGmOPdd/NTT3l6FPFFixNrtznLFf
4JuSf/uHCM1tZ91r79VFgf3CkYq7KBM/G0tS/ps1zyHTQNVnjlSOtbpZ89zo++mPHOeJQwYy7H0L
zNz1fSsz9PgHJOXXgqsBHhd1d4g9APZind+NjWN9oUG9qKqpe4qturvYDqi7mbK+eKC9HEs3c6J+
jpK6ZxtZglhjZjOZ1Muk1kAXa1TxzKOJyrJ7p2l/K+92fac2VSx//QSSuzk4xamM6jRwj8NELm3O
pgyfjMhWnY9qi9MH9cVcULK4G7Siqyauz9QAVypwudBHadCrn/EwV2c2UrXpCKoZMZfYwnwL1XWS
Fvfa7QpAYa3+LJOd8dzct9DEofm9mchyZ5hDbWaFG0glUG8rlE1WOK7VEdCl2Y8a4DJHxT9YHggA
AprmmWYhIPtOOx0H7TgHZkVDu0CSaC2vYJ5M7EN/6p5tzqp9x4Pf/N7gypOa1HvOc/eCzWdhZ274
ZHplKogXoej1xVgyZq9OF8fXzhpBG3vRtaXam8mON+ESZ+FsY0zh+s1GCkaW5mn+WI17Riww2YK4
XneOkmhKhyjXxBU92h6AFBWkViMQpZN3vHsPnZPyZ8/FBqZJ7q5tocrTOMNk0A/Z1BC7+A7aKnQY
0qx9jCdubdpkHLdAIXWXbArayITIFP0yFGK/Zr2FT6RLAF4jefcfxzHvH5JJaIlCdw+cah+Sbp9O
Yy5wndwJdfZViDTyu7IFsduqL2lD0r2uwSwGaqm5GJ+eNR/SMms3xjQTk8s+3wXe7XZUYWM9Ur+D
UMkiGMI8jbz2NkB5M39wbdD60E9EVY65TX0wlzin5VpR+6/JsupDwdmgI8JIfbDniwkxplc0uM8M
bzf/do95zjBWb/9ekIDW6ufkm2EfAvsHOGggU//2+6oru0763O3fSFfk65w7oHjN+YQzX8xIJxm2
dWE3l0owuTM+MScVfUkxASRHvWGWC42Q2dmmIjjlxGXHtANnN1Ych1HfOX8adSQjV9/wMfr/j+tJ
tW4onzYGlkQBCI4SD61Rcyw2JvdkejAtFGOm3iB/M83sLfh2b6O6AOTxP4JvJq/Bt04yK17Yg8OO
gVLqHIzpNp8LrOYCxIW7yCGatqFzvTWbwuLsM3fhEbt8r9LRioBRbh7A0yBbneIQmQReinOB60Zy
6PzvaRzV+LS/+2lrRXk2yL12sCT7utZRMGTFKx+x5FvJ4GyMWQzsyVKseCgI6kJA5925oZu/ikzV
28RqQTUwppymyO/j8QSu5fjFLX7IfCpe+6woDq4XzN9sPBpMA7FUgV2D8IrZ0bMg8FBUAIzaA44T
+AnMw+xc8LX5Ca6mFz6poIOadFiUl7qjdzlP6IpSKXYtelvLamAUoBQd3ws5Y2TTUrzj5XgTgXIf
XVu6O184ybqmsvoasHerYcn7pxvj1nn59+8/8T9//1FY8glDOZYabSTTn/iNCjC5WDWt0M+/+ANy
kS+gRHrrOpH+uObZsu3a+GD5bnxIuvIh4dzbGMv4G3BCq+hmg00D7AQ6Mdu+9/LdCMJrVCSeyheM
tE7E4qneuR0dLmXp63vltwteZePFuAo1dOvOKpqlMc2ER8JHv2rRs5tvYiDnHOtkejaWuQyxo0Hu
QlWlA+R3JQl4S2yq2Ua18bQaJKCSSDKTRWWDXE2BPXwZBKCNQT4+o5nFd6WEyEjSdbSZOxLTgngs
WJqX+PrKm1dZNGrjedWBtzaBbAeHZEQ41WcPsKXrRaceibyMZr9NJHOIuYPNd5jgQvvvjhv74M9o
8OM63gJeFKblofkYVWbG2Kg5BsEiCNi3QYcAfM+B1mDfNbZ//6kOYMybD0IUExpJR+NR2I5Ot5JB
Q3gJnFTsRUlQJHswQKwvXMZfPaz9Z2O1zTnzVPCckzh/sFlyBnDI+kLaZDhAkBfCO7S1voCkJDY+
muV1D3TqBQSc4oK1Wj7U+ECS1KaPlsSlTHoVhVqWB+PLdbhRTT5uYqm7gxVb7cFS4yw2RAINyZH/
2WZ0iwnmaGPi2HeXACZAOmfYXg9xCYoX+yTWzwY1aXCSZuQlbQnRqRBI81HjsMcBBrjFUQUGWG3J
CemB450dQenCr5BBQXXDO5uL3XB6Ljz9MCN692NFBYuaLo1PFUj+n8JkCf2GKzvOnmLvkNZVcjaX
YqjSu2C8NwaqgQAOABvwRbVk2hVTn0OIao5lYoYPeQ4a77MZ4st0CBp5woojL0MNiQzVZ/fGgrBT
DgSKmFcjeTGXPANIaQK/CunF/3yeTpDL62CRp11yKqrxex13aKP7OjAWdBbcZ2lNv1lATV2tOicE
Dff4t7kOpKglSq/5kmt/2tNE2nszavphuo6MDzxMqM30GQD6bVbuGQ303lVODMAUa4ssuo4dDzzF
XGYQQgNqcReU47gbcoinkSAGH88a47u2z6eVBbDaReVaLL0iaZ4LWrIo7oE8GTrxQ+I8+Y0WDr7O
QwMGgIC2Vydw6KirKmIpzznoHe0xL63g3U/qn7HfBK9FqMLI007+rMASW8YByEj/vqD+jbkbuABQ
4/CIRRXsdUx/auimkAko+rJmz9CYgxrRjF7odVsusl5me1O+HiwwVaHVku3N1mtmc1H/mrWd7Nfs
7V4zS+iwa4nSD/90v3mcuSEhaPLTqiLjoSgHtFiapIg+MQL8FpB7HIY7El2LWIEM+6NHBKReRNs/
6yquFjz0+2cPh/YW/WbLImfPE/plCsS0H5iaMXUwUSm0V1CBGbFIwvQ5A5S+bMoTVDEgfkXVohzL
bNPSJoQkW+Jvwf0pN7Qj/nM70Ys5CI7NlED7R9SPsqd0W3O73HAopDxbnXsRoEptOU28rTuUe7tW
xRu1AM2Hrp9z8tyCHJIQOj0hlLK+5LX/xVS5P0IhHvArFJp7zjU0CIcX1WtrCcYkO3kBaMnQKgN3
SqoWEhAJcrp25MGJAER3cps+eCf5dPHxUr7bbvmDJYP/5uq8jcI8nl7AWgMlEtpyzwMDCSMPSfsI
ibVxWbYoUthW062CMvHORWF1a/Tmk7u40vZmaL3m6Pce2xJrCCFZwvK9a6lhx6AedAjKUm1HH2TA
UCixaQfN7rSk1soPxumeoDMPEFffXgoJLR8pguaprgjO8qTov2DhgtBXPjivglkZcK+99ZVN0yv+
JtU3KBCf2FSyH7TP116rkj1H02Zb9vjrdF6RnUc1lg+FLt8H6TpvDvfsZc2hSpPWIEI6kDQ0/nxo
2KYClH09cGa/JZxC5CxInvr2PODl3k3hKLcaVGkwpWpoaNRd+s0r2yiBdMqPsQw4pBNa/SzijK8J
tdxDUxb8FHCarzK75C9p73/pw6n9YaVy3bbUg1KHJNsRZ5qFctP2kqvYXbut3R0YGspYELlet1Wi
H+tcYrlM3PydltPa0VVzSJXIFizVwQHQTXa9GNMHngo5CIU63TzhMAcSY2Zo5xJDE3QdhvPtbjMV
h1T89hgTHIimXzBbZTtihfVy6KGcGNuC7FsIy605SApP4DcU2HC84oebvPVTMn0rsDEvhqqwH0g5
FVtLesHWszi5t5IAr17JyveaVwtzTxEEP1tiq2ede+m6xVfvQF0wsy2nYOiiJwPK0ZWNbVHme6yG
j8JkH/PFnbMU46/a6RFEj1+umx+4skdj9TEBLikT9fUZ/0+feYj5E4Yue81dAD19EdAlyEL8qe3K
GnokwT2xZPJkXD5t9jXggGd7dkFDKQeBUtgbMylpkKOziWaAMUMyoh7nbzxmy3pRD90K9Lo7N5ua
s99YzWOTiAPPUpSxnC7blg51V91c1QJ1Gpp3JKzPpeu2j6Tlv4W1I4gVefjipmzcapTp8hAifxEp
g+o4QBLpejFmno74/Cgtligfufexo/i9FHtQc1GvNC6rp19dO2x++SYfLzqAnOXKzCLL0Id/309Q
Z/jzgBoAsxWA1IHW6iwP7tifINSlW+STkgV5Rv8TzZg11lq976dg46Pu9lDOG/kUhhvQNn9Z89zN
mudMZDNv68MfkX+/z0TW8zM//oSP+0RqVZu+KmYRrxjtlLjt0V4Jj3bdoX0f+OOd8ZjLCFj7xpIQ
Pvw0UfsZTgGmUBwEub0Mq2KfpBRgornlhhccCNoq3hrLXLxa0A0WigrydkmfohketIsuDMZNUjiL
CchzcADb8MxGEe+FKx9EIcOzcZmRJdCuaflkYcf43wSqW9W6yPl4J8N65eUTuedz1jrmpV76qVUC
OFzQx8SR9gH5QxqNOXmvUOd9Ek7wY2pI8lw5Xb8ei9jZO3FK7zxIn4IgxOudVn24QjUK7K2GXpjO
9SMUOzdp7qsXv+jlkbaoDRpzAOMEqxZt1tVQ6JdxIpB0dPa+0u2dlRX5EjUpAgiM8vGa91Td8Wo1
OVCvymrL2iGVaFZdDhLsZpymv0AS7KMx7ZoVKtPBc6vJxUWz9VveoYUyKKCyAO72t5mLTvo/RKC6
qZZN7JANsHTOetINmhokz084A+tVru38C/ay78BqxT8IeWubtr7PwCz2tjGrOI5OmqJ6k9H7PlPO
XqJSsgLuib7a2lonA82/OVb2KwI/vb2fcZ8raEjVp1p7EGXLU6TgM8MHJfV2kVU4KxMNmDLgD8IK
+kNsem1x0vKjGIfjYPOSo0QgogbSZEj6JIVyR09+cse7Q5k5fYe0Vhp1QGW8BLosFkhK06exE84y
xl/mPhNhsy7AFDvRJB+3QwMw8ii65BAPVEFNUQUnlBuztawgCYBPDKIMLhrKI8+hbIUcfDq55Qh4
ElHujtvW+JoO2AP0EKJmHlenARCgyPi9uJ6gfzogbF64hhLKTR9hdlrSqJlXMGss8LSG/gpLU1C8
0/Antvb0xcOvECIK1RuH3MEq84Pk2MiyusucNF5wYGTfHSiPcNv/JmxbLaYmDYFtD8l+/kep8MOS
8gVKnne5n/rf8iz7UVh99cTKUv9X6ks/EQmxVIWO6xEH5TSbekCc/okEaYbUYVmrxmfgrcNL5X0J
3BYLL+Qy9rQLQRDM0vItF1JHkDRrz11fug8DcSCtAT/E/Fbd2ENqsgoWrh7SnTmIGFPU9HfTzEK7
61AK/RBOQXaMHdGvk2rQl6xKq8WAasebm08PwjCrwmCnKSt/1r7+yx2z4MUCxXOR906+Q/PnJ/5R
Aftg2TWaN60evyasuNRQDHqsZn8C7t2Se+74tTuWMlbn3kbp3ZzoVTrZ635SHJqC2FlNXQANruEk
iKY7P2Nes6EKqpgldeWGZR0ySxDH0asMiupXMZ31zhLAne7IZMGRINlDfzR2zFV/5ANt0ZUY5OcJ
E+JrH7eYQKglD6s8GJ4bz783XBDDHgHLPTvOLgscwYdEswwSE0G/BP7ZPgWsKVfMng9Dtg15xVAM
3xsB5irh9CcLyouMA+sVggIUCoqVcw8NY4b130Et7uN2EQP1b27Hb+56u0+597MS3WVyR35uvbjf
MjEU5xoswkhxv3itKtGsA+bnG6uqi1eoh721sdffi3ISjyFos8Y9hkWwhXgCJH7mm4oRpz+PQJ3a
S+zmRait58b5a6i0f0CXuFoYc7DGR0DgznIWBCqq+I5JWj7xvskOveN2S+PnBT+DFlE+uc24LMLJ
iexMQ8e4QQqOTP4I+t/vl5vPZk2/giqZG5mQ24QxwfXpV4ANsmXR1+NyIHn2EJZFuEK6YWOjFN0G
ypDlkUORcZciLdznQC4cXLygW1e2LTRCcmdt8y4AAW3KV2Muh0uWhVApDor6OW1UHA2O075C/SuN
cjm6f5F47gFr9aPS9XpM4ziJJgrJbLCJIneMozblgke2QhNmVrJuuXh0u6mQUOj2kK7O/bOhRl8g
btMHe7ZUIPYx1rcHM4eOznXOnUnxH3OmJ/f3+8K0SpZdX5ArkC30hA9aUJhsDYcG8HR3r3QCfOTM
kW44s9Zen2mQlfCNbB9Dm++QxvOfAAvvoDAu3lALcbBQDOldFmbu3oa0zTqXhD0GFbrYAtIsP6S/
wNvPvldOaUcTKaxL4Exq0yAZ2A8cckm8RL5ZkmyEyCs/iDBrTrWduhuGSl6Ewif/CdJQXnjuT0s3
bwrN5RfWpnpZBu10dpket5NL9M6NW2+dWhmUJmUm1llSOwe3csTJbspsBdBX+gLtvS/QAWh/AOWy
blMv+WtModuh/TG5B0YPK01ZJFtede4DS9IEx2JC31n/FSkzCKNZ4fYnYYim/qD7w9yf7GfGqZkA
IujXyHPGAfoGaorskfr3Xd+8VTocXrtgHNesgKCtNwOxGsdb2q0VPo1ZXx5BYxYLu/HEa6sk4Gr4
emyNGU7Vqa15f6nipnnoVfpI5qhQudkWgowQpZlNFO9Q+bSSbwXt2zv0E/Cr0OAe30BSkxgZOs0C
tfwPsNXYdksLklNn42IFFL+rLNmgV+AesnQAZZazcOPpGiuDnVnL2mnbpxTKsZFddf3XhusHiW8H
j7S1StNUJVEh9WF0O/7eTA6I/Vx4z/Z0d00MrPQbFuovUDZ2X3TjTNs2L5KVMcOwaxcWFI0P11n8
tXoIKN/9e57u/23v810XBWICDiZU+/5GsnD6CSwFv7Se+rBwgG1y3cVYTt3Z7vN0X0NVfw3EsnqK
FdISj+TsuwYukDd4iW+xI6DFuzG9Q1qAcKGLJ10mGf4lAte/hef4156uj86AMd9fY+dHQ5YTWjVx
QxZXrkQxtSBFZtmhQcX3R9U4+6FV6dem7ryFaGRx76UV2SqcO7ZcOfKeA7i98C3Fv+YgRXAk5eam
rocOpBqA04CmckTmlUDTXDwxLiMyd+cTCF49pT2av/MKYuY+rDGFxPiH9XEfUC7sP2RlAJn7fFAC
Z9gFjcj2XfwHkPGf2QfKN7EHOCF7ctHaXabtmOqXjMYRIGbpBkCx+hDYPeDRZli1aEc28+U6U3gj
RNaNndXoRE5jsOA5BZLUn04G52LgMGb0CRPzyex7OkI9ovG9LXC70AZquw4JeBc84l+5QNIZdO3B
sUp2bFK/W9WQ1niGVAmHEC1+4bk+gg9Fv5ubckvgJibbte3izG9uqlP+f7Sd13LkSJJFvwhm0OI1
kVqQTJJVLPYLrCS01vj6PYhkFzic6d4eW9sXGCLcIwAmM4EI9+v38rMMbO2TlRQs9ZN7VS2CH23f
b2y15ldS+jMxLmAYivm/Wo05fXGUpnapRjYe5TEGmR6H5qWJdGkP3YB8iOU4uBjABWCD76WjE+if
UTaA5hOQzZkQnXMCHxptpXTqnzPg2bwr+/EnhMRRo/MFAY8H3qOLPvUx3KChU70NIhAe3gaxbS1/
DxoFUqCCqqtK1PA2KJqvNG+bblfyVKl/lj2TFAkAoF2nO+kGAtUg/Dw1/leq+pVzr8XRcSoih8Uu
UcbaYy1bD4O/1+cYZKnJ+cooR+cWg4ReCsLWcPpUJMa6l8FvSpJifim6X/Vcqdi0zbCtiKfsbSOy
5u5Si/IHX4+/pFbqQY8GXL6u1RdoDL070SUOoumkyZbAe3T+0K/Xquq2MNZvsvExbrXxFMwEiGRA
wPPPZ8tB9MV+V+zjDBZg3e7Yt8lPWTwDjhPPOCtzBBk62myl2pl5VjtT/SSsYysb58p58quhPqhp
rL3Ek7MlSWc+yYMVXKugf0rmMv5cr529ksYmoh9IGEgtfECU+WT7nvj7WvxqFXvM9s5ot7emsKZm
cfCUcWcUzS9j3poNlFpuCeOYdNGUIuVSgv989PIf2mhJ59oZrYtY4AbKNrTk8nJb86q22UxE59Vu
TXCa5UwMu1svR7Cn1QHoapZq7DL9NRVDwbmIgvTJmKL3/RO7viEz0qfZ32hT51VXz8lIjWbaQKkR
t8FGF3cUpsWBpb+97rVO3puTwT8gDaZV2jT2BSb5/JPU+BuxzxyztjikxIfdPlbbp3EIil1ha9FW
JAq9GKGDNNadc8xH9pJFD4WsjJ9Bnz3fQDBgvbT1pEnylrWxdUy9VrrYXcP2EmmCL0YTP6AL0f7s
ouJoppnx2sdDBFDcCe8RDPAOjlTXu9B39Mckm4nvwar8aODfj+tfGdWqr1n+SDAYTZPfJ5L0see9
KQO9EK3e+2RlY73K0DOIlAPYlzlHZBFunb9OWU3KSA0VfyusHUQXZT5+s61VNrJX9/h3uhSDNndJ
aMXn1shDuNdq67VNq02dNMr3NG/llaPE8E6zSAIIaNrbJOydT2nTPQuPKg3ZsIbJp6ZIyl1rZ+FB
SdrysZ2Db8LDovarMLrxUvBMWzdzyV81H3qZcmg5SJU1ogYj+3ozohMFITdprehTOoR3mpqUD+Ll
k9NiQPEgvsazbWk1mv+u9Xuc5/FF/Pu3vwMl8L+9fWa4DZkfhUTdv3MhaYZUS748jM+Tc6wkpW8P
YQomyXH0bt3lkXkShRHizG89NkA6VerrqPYksGSdt20zaH8oL4Z2h9jECd0Nm+y5/BxbsbMxeVTB
ld9EW9PLiArP0GIBMo7m0tMmh5+ohHIghNToZPJk/WzpzufMjtV70ZL9YaVl0XMcErVRzMw78tyu
ENGxjFcIVn5YAOVQHIJLOp5QEUnhCLgbHakkBjFcg6aroW9ofxgw1b5WRNbALnTjS6S1oRtWyUM8
+v1dHkE6E9p2flc5lrePlL4+VOxOU/aQm7Etu6dBladzErZ/KJPaPY1lpqLi0flb0yGrUPCu++GY
9Urjs9vHSiTtS6/5NlbwwKV6WvB5+Nq6V5zqq8KvPVML60UfdW8HoUu2M8uivQZmcUmA8r4mqbYW
eSW5oTR47PPgwYrKay8F0WEYQvPkZdSiiAOvTxCKeQnd2lzpPVfGd796lfctGZqwdL4EuQfRpiZX
J9sam3tSYrxK23DcaMZQbqvY0+8rnk5u75X21u5BFKwoIIK1qY2tR9uT7zVgcF8VADOrvMjRobCK
gg3PuM1l+yUwsu6bbYf5quwrVI+mNtqZlay4PAH6F8c0w1WlB913H/abyi/7YNVqz12mO7+MTrqy
Kd43ZOfXo0XFwhirbtMozapPA3sX641zyod62Ju2dPSmPNsoIwVVSd2tZNDVL9BLD9sOXNw291p2
4Flzrxbg92pAh9/auH+wSbb+JOVEzMZCDsML7C0Vu80xARYj+Bpw+JPYIRunjrKF5Dz4QXQVh7KU
lZMUA+Gbu2JJqtwwtVFoMXLl0lsj9Qd98WWwi4fSzIpnULnPCgT799Qxy59ySfmc+woiPFFRX0aj
eqAQAEh/GkVs4X5Gcpud5dB/dGDmOfhWGupQ6eT6WSIA7WymwExfEdUxdkUrV1vRlEbz3i7YHppq
h1aS2SC0I2XZqy5F4bqS2+CkOu0FmKYN/hkWMVFBEziclZRNx0Xg79Kxf+sXxpggJuGa2UW0YRv7
Q7LybN154ycyI9l9mUSfWJ3Ud+MQ8UuaeuWI/ET3WbZ5UgMNT3cESX7w3u2vqd1pl2Gw9kaiByhn
mVACc3YVRnn0+ms3WNaxQM6HHCMePYRIByeEl+zWDmchohHei5U3ZN2mILL8mWVMuwF6z2ttbiLW
66BspLSHDH7mbegUo9tDH08Fpqllp9uppbdsk1hx2UiC0Bv7vKBsVXKD/q7oAwcm+/GhHCPj3k6b
HbvPje5oP3JkK5DQar71utE9TE2K0E5uV9sqfJ0ohvwesdMZ26j+1etPvW31n+o4cM6lN8H+UiaU
VcQtRSQRj3Qo/Ly93IfpquDn/JBKLRJA85mlKw8pD/2T6BLGLq/TXd9rviuaCL+ld5JSfYtJCee1
ZTxXsdwd+tqsXNG0Qn8i8hZ/jaTMfIZbuH9M29xN5laRw7mBRkK7GeRBOk/zATTZ21kSa92uC8yv
S9fitvg6cMKQ2uDqv0daZn0Cxfur9Ar7OJR1dLBbz4HUY0j3oa74lz4M611QafEdqcRxqxVaeT/Z
lbVxUpi8+t5/cHgz7/M0T0/wETeIj+jOvg1z+6zBlLpVR3m6HxDD2HiAPx7bKYZ6Wu/l5yK5ovEC
6sCe0iu81tG+06vqEKG7cz+GbUjcK6leVS+7yCW/9DgBW6Bk9R9R1WrIMWnpg0badQ+QSt53RRsj
rqBSbkcU9YCSQQQbgzS/MvoSzSjU5kw2FqpcmT/tIn1SWEO4NVHBh16TNnCJFb90isoCnoWvfscd
ogqRPxhZ2O6rsbmz+SntYtXud4MBVka2UCEozEB9kY36m2qm0a/MvIDShCKLH/ODSe751Qq0wi07
pX6E3a3dlkmTn+2hOjkROUHPl+oHKoxaN6vJBJT54AZ5lfyUA7ZZTsaaxLT1bEt5YX6aJqQXVHAk
68DplS96P16IgSDsB9E7j+xtLZvl1zAwpk1vy+WRMKX1mNX9T2oreFCStWdHXJvXtG6jkxYiaGKn
3XiXOvP2xTC+RUrhU5bRjHslaNqd6bNEomr42oLS/e4Ak1uhhjI+jqnegzCv5G2Vde0L4QkSJHiE
88LZLvP0qvZ1Dg6g3suWnxysyTEPiHPkZ/6XMSJ8jXnvUNm+Dvu5YnyInP2ohuM5K4DjD6HjPRu6
Xj9YiHjEcIv0Wr/SStK9/tAklxAOjB0Z5GYjwF0+n+Xa7MPyIKBfLcTmIEXs5k5Y69ZetXCaPsty
lz3KXk7ItDFORtUlqDx1/aFtFX8z2Ur2SiHGT7Iuw0PpUNqRa8GPcH7mGrGzKijEdUOVOOyIYOuh
Q8ZhN3Rx9uirvUO8sq2/m04FmWer/JRIWZRyaH0qZX3aIEb1ao9Vsc4zzXlI5wMUSf1Kjfiieqak
olam1Mp6qqxiE3iV8yAcHcdEIinSndXSB7kC9S0GD5Z5FuGWGIP5YN/mvk2WmMrOB9XQ9dPLKPnB
xs6L7CL5BACpD2T93GnJ2YmcP6xYcy6hxv46qJ8mTQtddVIhrHXgKaq8o+XYyqWgQMWd4NcGegIp
vpPU6iHrkvG+mA/hPhvTbMvmONwX7BTWutmqL9CdftWqYfhFfm4CqcxChd12JSXpqm6cfNMT++Zx
mfjTUUp4UOuScR14juzlUYrWSWkqn8zIt/ZeLGXwpGT8XpXkC5iZZD3ZNQsuuRjPkwd6JNUMaxuZ
2gD9X5xvbXm0znnZth3Eie2TkVvpXvQtB6W2/3SpbZW4GvoiFODUkILU9Ytd98hmWnr4uYPUfd2l
BrppTsAWFSwEeO5dpE2UCFCQAL4HLpZeLfvVFDaXvtLYAhKhekrJM62g1RkOok9JNXPVTSj1UcH1
EGmh9ZNcFCoILnKe9qOvsUoOVfmrLM0yTXo+HXWJShOErni6j3NoopR6FoLxF6kOk9deDgCsAwea
gcs2AfDgCCq9g4NAM914sFFKAkNvBCEJSaSwznIxZAeUOfg9FLK0Lq1JJbXneI+j1T/6pn+hNtpH
ASeSCLDE7c5TqvxKPI2SZAkNMklpIP4xWTVRUlt9MvMxugzENQiFNNWnuMjtOyfWn/n+mMhbUc0D
oc+fHD/WzPe3lIKV7OKQ2yEBLCh+hCEqa++uKb6LhhkE8ia3+nhtWdX0EMOEudKUZqAyQZsebn3w
te3UxAZ7MbsIA7sFWO4kWPzoQSsvdmUjYwE8cxgMjlWe2zZ5O0u0It7A3GKspLCvG/Kw+NxOeRLx
vUrkbgtlPtQlBqwvkkxpd6o43kUc+Bo4h5ZKKw12uItRmbwA0ujalFLMz5/HIitY66pMA/R2fDIH
ozKsq+hr7PyoxvW0zyMbcTWdyq42McnCDxAyyBmseOV4R9ZJe5DH0XA1L/CvAXe9G60x2UtsLUvV
n6hGG+cQwj0I1nVnyDqvaZCbToHuG7Gx146ivkvQ/Ri1nERrOxZbxyZwW4Sxday9mrXYfKbEECDe
OkVbHBrkBMth3HZtiKafKZOiKKiE7KXk1YuD+A/EBGZOO6n5zPMezc3I85/AooQbPaq8e1PmSxHG
X9lckYCf5aPU1uDVMjfFoXdUULWGQ3SAujZM6mCZx6xfS32iPmj1Y6jXFDbKJuR5Hh8wpFYwJ8tO
lRw8U+2p31BmZdmJeIAeG8k6nCTtKg5lQEkgq612q/jyW1/VtC0JG7U8DEml3/x6RbkjoWee49xw
tkU048QtRT82IZEWBw7rZyUw68e+Rv8WEtxn3eo2TixL13mh7rW18qKBWD0TIPBuTaNIUzca+2ib
qkWEFm6HAkYB/f8OEs2EXGz+3faiHOWAvj/yWwvZMevD1YALzR2dZNohhGaf4kr6HER5/NhTIam3
Vf3sj2P1nINGKrRGuSt8qXp2tN5wOziqecLSRIXF2ykdoRmv8e6MHFAVpVveXRaZP5Rpil78NKoO
oRyQEXL8+MWkWmajo0O1F1YqIqDPCfQC9ApWZCYgmoqlJ9nW5UfeH8BY6B6sjrrFIDdXJhvNkyVN
AAY7Q9sbGiKT8MCZVEzFNZSboMeoAzc/pYQS0K+w5TVxfayjrOyKnNe7FFsGIZaZQgeY6EaMVZ3O
3xVK0W5uY1tAZ7ztifPNzqzwkOKaQMYLa9wR+9PHqbw1gWnxwhoHeSucsz4hvznoMIrM15X9ONtU
LYGx29hh8NYWCe2dcNa6Rl1Xge3drIlZtzCUpeX+NjbsSbx1pITEnxBPgeSSYY13iPHsDcvp7juo
77dpOBVnOz6BPglRrXI7Re6fJcXqntNq+EwVlXPJ9WzYlx3Fm5I29PdtA+Ns2DnUDkmheetrlK/l
BLXHrauDrOBOJ9nsyQVUUxE7ZoDmwdHu7f5ezJFVYQJrXRbu7GxwUyvrWeKF1hr4dHLyfQq/qXr7
nhGc+loUAXIQuWbcp54R7VEeOzbNlD60RvyplWP/hXpk9YiuBYzXDoK0Vdw0W2Lt41ZYAQ/ULjlC
5yisuV49peiQPfihrX1uv9Zl6u/VIJfXRW9UcL6Z1bqmbnVXRyQ50bSAyNJBotbYRIb152kyn+pK
WqruO4d3p3qqIIo5Ej7wjUePIszPJn/ek6MD4x0c/7PGt+3qJflRtCSj1+8jf3wUrWjKYCHK+u+i
VfFHU74dlqRby+DzVEGiYg/k6MSsUTNpaE1P1ToyJe1+9OS3gy4dLKn375duFvzFMfH8T8Jp6U/0
VtkEI5niD4bcj+RV6VEtsDgLF+IR7HVgou1/X87r2DAalaJ8oh5+G/bN+GpPpreeGkDNIyKnF1kl
3AV2em3D1kf9exW44ayCIg7oKr2dJZph8/POeIdb6J8Iq/L7LMlTZzN0FJR8MAhnYe1byX9npdgH
+RWzr4lKEHu9zVrX9iqpJ4B7LUXFBFjGKTtC+Pp2iFgqHJP5IM4Ww+K3GD74/QOXZfoJQHy8EvMv
40Rz8Vmu9A9cPky1jP3Lu/zLqy13sLh8mL72Z2DeB/OHKy3TLDfzYZrF5b/7PP5ymr+/khgm7lLp
xnLbBuHj8ieI/qX5l5f4S5fF8OGD+O+nWv6MD1MtH9h/dbUPd/Bfjf37z+Uvp/r7O4XeoWJ1qOUu
BCEs7cL5ZygOf9N+ZyIVxagssd9G3doIbOe3WW7t24B3w/7jFUSnmOr9qL++o+Wqi49M3nnaLJb3
M/1fr89mhq13r0eszpcr3ma9XWe57vve/+t1b1d8/5eIqzfUQBhl322Xqy539aFvaX680b8cIgzv
bn2ZQliS+V/+oU8Y/kHfP3D576cCU9+uRxR+Vno01nftEFibCkS8K5pBN1MG6FkNcgcrGC3DlUvb
W0t2nau7pEbUr64cVpSzWTgOow8mDvDKmSL16qjmaDathdnvNrqeOBcwv1TQia5uchAddVgFFmqh
7tRRQwKVpJJL3R9q1UTUhVzbTcxN6LoJSTdq9iBlF6fGMMWSuwi9qdbbwKVrkYLzPC1C1KBOvnph
LR10FB7cLE3jHTkp4lFymj+CytzrZdbcQbaUPUpEX86G0zwIm/BCkTveOmY1rCkLzx6FmxojJRYQ
bDkKF9WTWSJlLE2ZVTgkRQ6GS4+U1TLRP7y6ancPlqF6BFH/w5WdEeYl1fvmZxoRuMzuLxNIrHFl
wv1xEW3EJgN3SJw382LQf7uYuoRLPuCS92/DxFhxEH7O71mMMg62uU7xrlJQ0aJVEVkAcSoORAmh
mV/a75xi276Avhx378aAPP3T/V0v9NiJ7Q6a3EO0DI0m0m/mXaeE1p04S6CP7bqsvXzoZ0EUrlmf
8h36MGBognMX+7A1/DmH8BCHgu0tLFBmt1v6xFmQWN2eMsifH/rFJEVtn6piMo/CKLqspN+m8tgf
SvD2YCbJEyLkZPARWW5mVs6tXxhFvzhbDsDrzJNoToIAT5zaJFO8KnobK4bVeuitQ61q0DxLhy0Q
gM4No0l1VvDr1Q+rUiFIgqiRxLcWCDVhO3PYRk7ePPS+3DxUSmEdrc5+Fl1LP/Rbz0ba2Ow1cBWH
FDjy1tT9zh3nkaLvdg0x09IprmNb/ni7jjDIxfQlzat6J8p0xRk8UNe3et0PpbuQ8DnF6ma7nYua
XVG9C7E/aIdm7cCsHpDDPcqNpiXImJQogUulZHLuSXL1L+eNolWyK9y9puqGU6Oo5sqvu3RdR9pb
7XQstY5NdIPq6OWgFTV060TzRdc7l4+V18LuR4iXkxVlipurJnm9GC4KsaEvWIVQbSKcRsxa1yiU
rhPbPAUzKAKFSPmPNIcdaCazXTwCU1GQfehTVz18AP3EKeDzrei0ZrVQ6l8NAiDr/Dc2CE6jU2b6
ZI7mCCC/lMeQLCrU49DiiQP6Kym6ck13I80rhCLI7NeQDbv5AbXoN7Ce1FDHFfV1ZijYhk0VrQOU
XQIXpGAGHCSN1r3nVNeiH6ur6FPmvpaibiSHiNFuRVuYP8wzyNF93Xr+oTPr/tzJRnd2ejLEK9GO
EJ052epd3uZDtr4ZCD6BBxis9lsAvzSJe7VDQcNHofv3DG0Wvc31oS+Y5/PUuw/dphxKO0kdru1v
ldB375U3FdHKm1xiCMq7N8zttUMK8HTzEe13I28vmd4LZdcH9ORS4YfCgUTGNE3Cl566sF02i82J
Q/L7bBSicktbmLs+vo340C+a7KC7Hcj/L3Xf2tOKwCdVUw5FzKkeSpflkHn1W1P3m1ULTOQsjKL/
NrajGsf1p2raLMOIqnvrrigV96ZXoFNwSBlUDxmgroUhIGCl3EhW/aqNbeofm8zqz1mUsTEN6/IQ
TUl5iJGTlx97g9iBPNiZK3yq2TEWpQqjAzK6JetGHPJOdNmBmrssRnvoQWpFTl1HNVGcGKxpz2tO
uaeYVb0XZyk6oOoUtpelX0W67ZyqBtxFuDoyoNqVMhTGzuK2KfGjczkQ1uMvAfW9DiW4Zm/mUHeg
qvx9NeFdz5cccomUDFdbbiCosvrc1frtau/6s6QEHYMuXj+phykJyx1xavnJaVOIKhGk/6HCqBu0
af/NbrLerSjqf/B++4aaNX3w7a0vFZdJShQxfIUUAKrvAbj2mnBS5u81+Jr6m7k0QyKSIB3e+nIK
q/KhhOR6HnEbLObpgzmoVwb2qp4tFTxmylrMaA7BXrh8HDLPTWltiG4PI4Q1N8p1olrWYN6DWc82
do1UBP8684cZUCeixOXXwIzg9TDq5L6sYrR/ETPcGtS5PAtfQdfyr75yNxmkaYA+SGolrSyFV5Ko
Gagh4KUYJqY5w4hlDV41YRXVBsJq2QAdhFWMzVvykLKj6U7leszj6uTJV9VM6U68ngh8CX5qaQpr
OZPBC2uaQ+xc6QCaagWdBqdd6V5CoQ7J1HtxthiWvmC2guBQdmZEtYLwE4cePY2bgdqNHxMZvqnv
SaIuA8QlPswkLjHCdoKmBxML5+XayXxToK/qSwmsSbP0YmOOwPFCc4heqYOCkVl+9fkASBaGiEX0
rfJaGgogq2J8GvOe+jwpTsiE+8qrlckWyU/Zu/jJJCOAyBd2Hi5mzZqsOgzEe//ZrN6gwo0hSVBs
s3g8GL1t7BSvozIbfNYK/rDuHKqh/xIU08EvifY3djQ952XuDjMxGvVz+Z3awtzuz14ULbJ2NpGU
E1YnVkv+FKYUVjElVXn9WVhDXX43ZTZmJIqZw27yH6QUEjIMTg6C3mofZSRjDq0dmFv45s3P0hTe
iffw4pEA/DwUoWVsg9pANkOHnapfVZNR7sQ6eYpC7aRbmfthrUxRJSvwSZa1kxG9Wd/6hCWsq3eW
ceD1s7ot1Un47LW8fopn+UYtSWDR0etjI/dSf/e7SVLUv4jDlFkHiqOLiykhKcFE+b5W7PBRHBwA
HkUMFk+04LZQL6XenLROR+8tHdNhl7Z9x0OWARO//0crTRp3psDf5VDRoQnXyMeiaa2LcBlVr78z
7Wm3DFDNKd7zBKWqXgyglNlwGwRwbj63607xfZHnwW0SDXrH+2Ak8SnuwgKGj2y7Z6yErziAmk7W
YJv6rT5PP0l24Q7oWj1JyVqOoPTO27p/Gv1KdcMe4VvRN4C4PYOK+uHMfK+iq8x1qIJS+WLNXT3o
9G1cmawi52bBpu9RM74Im3DXI+pInZSSnUb29OOYeq9wh/Qnx/f70+gNoNDFqTjweJcklMl+O3z0
Kn9bhI9oennjlyvRhuos3KjG1N3mXHzSPBo9dxkt5jWq8e0+blOIdpFaz3Jf+bsPLmYt80b1nU+B
UUHq3Tr60e6kEOzgJHMqDktb2IWnMFtQZb15ira5eN5MwpWExOgqPjwjwknMIc6WS6IuJWnuf7ya
8GSPGsA6CDJRVuvh3oJgcB0NSrwRzc4J6Ou04b6zJ2vVw0Gx/WDw+uRHQL7l8LE/H45BkSqnKqsS
E0E8JhnsJ3Us+jtf9RvASam1ddhZXpElqlZeNfUH0RSHuLUfZb2LzqJVRpFybY1hnaEXeJ/PLUf3
/SuFmcuQEhaOS9sae2+sp9B12gaWASf9qlD+HbpwvEz8RFTI/sTw+cKDHvTbOkzBKZWVC7ynv1aW
HDxRCACu0nsSBy0yGxBEhndM5j67Bqg6TRLyfHOTbH17n/nqsdSdtwFqB4TBQOtDdFGKlm6sqYM2
dvYHe5udu9z6tfhTGgi8y0RgYnYou3J0/S4Y96I5NUULGM0MXdGU7ER7zIrPaZy8XQ1WpJLwpWkd
tKSJQd3kGkEbe5YOgEs04i+L/DUU64gGzH1hbgAiXtr6QaNQDrUlHLzZQXiJpjhooRmBo8n99QfD
0kR9T98GhglG8LOm2CgdjpqP2J1NsmlAicgA+Lhu+nrakoVHfMgOg6sc2qtoLNJ/s4qxOqKKwjfR
bP9JjKe4/+N44RFATnvzWK7w+/rCuMwBKBguX0DoDmJNWyOAwyuuULFYmRTvXGyp2VCZ4UMkYPTf
qybyj9GMsV4J79YMLXcMtOFBHBpYUy+FV0Nr34wPmUmRRxp56U7cExTTiGoZ1fnWskmj1ZIxrGLx
cfy2irtL/4M1IST2bmw7j+3njy6TY2NPrtqnwimh9CYuqiNwQbilAMA+DoGbhHPCf+7J5cg5mkP2
S5huTpXXbpLSDjfLGL/Pk9XY+W/zCANkxv+P8yzXHv73+2m7SXY1A4ayMjG0c16ruy5SjUPjaay3
kq7TzmPJNCy9Eu2cmFp0HCgBRplFO4uuXlhvPsK9pChnozQOtSTzEOEp5hZNaUD/a136ED41cTlu
RKcw364o3AeKkDYUX1Wr0A7jt6d0MYLzWRW6Nu5RNdsgdhvqLkEN/RiWqQF0m2d+4/PKQySMtiOe
78JOLGe0N0XZNPu3dY03hAeifNIdPxD/3m4TezvkjQbX8Z998mxA7pbKnEq99Wcw7yCWPLugYP6l
U43iIMaLLjFA4euz5psCLco8Xhj6LrXPpjpK2ygdqOfoizNYifI8KUZx/k9NYRAuI6zWZjVRWvu/
+4qZktD/apkwolXmUyFpkivOdEArt7Ns7isSyXgSZ//AD0kmCVQwwUw72XzgxhJNFRivlIUAZud1
nOgShyro/Hcy3AnQgsTToG1L/Yti+RSfkV/W9RSM86BrAJijJ23u9tI2Po7spV3RNEpK7+FIkgAw
T/mLqhCEJwoE4ejszIr+NsfEmuYhsoInn2KlFw4xP1uddQwKF2aK9MguL6zH2jMRdFmaFIccOh9C
k51UOzerD1nZNTJ14wxF+PAwQZNijFp7ggRtfPB0DnUowYJdhura6goeXkNkxufJfhsgRomDrSW3
oaIlxg9GHG0soDTrwi4TYp3tuMuVULsWFFpt2oI4mW4YqLvMfZ6kN26Rm/XNRRhGJljBzJYdC3X8
2fqGciQ0rF0hNT3KUSBflLaxQzd/GakVuzazaWwb6aKYw77RLCdESDsdj7Gk/rp56hRrgU7Xc1dc
c7mZxIfrOwIWU4BhP4n+pHEat0TiY3ebarkZYRY3GFnJ7UaW6fIXxYmtQxapPoQJbOy0eWdph1K3
B+pP3ZbEln61dCrjBO5W7BeFO5hvPCGtv/ksUyyGpW+ZBr3GaDXxO0XrfvhMCO2FgkrpuclHY5e3
erFv0ip5hsnvmwrw8fu/OgwhgheVT1hGUAGNMnUyGkReggxQDkxtbZbp+6Y+N4WzsArnpSmsH8bm
JvD0Boy127eGdklj8ECDZ38B36p4R1+BLp0iHli+qkIaCdNE+oXYrnYR3vXQrONK60958yvJDf0Y
QPF0opKUf1UpIUtNZWheQSJGL1KCw4mQkLCOs4s4E4eqpkjqZvnYNsNGO5rdd0RpTeqiZz8xnWgT
RGophS6P0ehD1+7HXUoZNAdtUgJpP5QE7CfeI25nlJn9K0n09AQauCD0GabpqQYR5caWp7hiUG0n
ziZs25C1VWZJ+iyXRtV6P1IBOIsUzk1Yo8Z7J/BadACdN6shd9V1QhrgQgHeC7vO/EubRtNKyUPv
pW2BIyldPr54ZWisnKbOXjwL4eg89x1UFGppJRnU7LYaFU2kDZyjgkDUrU5bjyLv1lQE1QM0NO+a
i1XU1f3TsUnih67VsyVv5upPrQUeo1WhwlrBsS7mzHZC+gwU+0jO8NT75Ub0DUAup/XNPA9Ju1zZ
VPMMOgVdG0dRq41dScUe+hR7E1O2+6rG0eeaEoOr3JXqfZ+WyUr0Z2mnr1MZGLkzg3opf2Zppnzx
prI58gHUKJWk8SvVbfWq9h3vDizg9FhIzVX0+2pabhNPNwiMcZGwbratDpyogWfzJfxDC6LhRz/5
yBXwWLt2RTPtUT8p97Ke+o9sB8HQm5n5I/xDbeA/EZ7Qm41XM4IW5m1lDd8klU+ocq+hsEiogfqt
ACk6KTVINuNoJRfQeNZ9VkqSK/kGb7PfZ35GqFT0hb/PFuvtLBryS5tBjhX65jVg9Xrgu6jdiQNF
7PqdEXnobqP9vPpgEM0x8q5FkdoH4bt4wPNOJMwAc9ol/iPkftmTUiXRxpOB/ec1hWORVBSu0VnJ
92aI3Ekfhz989GE3UxW/96jnFMnfegieqCQK3TQMELbyJQo+Mqg2d7DbpPyKJDm49+YNRx041tqQ
4QS76ZgFYnNizdsQYfd86huk0Dg5cIa2a2c2CKuT2PxokuoySkVFUci8p3k3bJ6bHPBwqqtLE8bp
d7Uj4KuVTvE4Akw89LakboepkD4Twbp5aBT9rNIR4iEzoiQqIz+szHzriP1+JfWsnGDWbR7hURzv
4D7faxm37cr5mG+NUe3XwlccNDn5H9a+rElOnYnyFxEBYn+ttWvvcm92vxC2ry9iXwQI8evnKGl3
tZf7TUzEvBAoMyXK7SpAmSfP+QoKO+tAo6ZPJvRUDnfgcxf32Fwuh6lFWTKCHG8HwbDPnUAerrKR
HZlEp558Vq6oBRr0qNgOQ05lRV3OAfOtReB55gkNisucW4PxkERKrcG6X3nolAEtLh24Z5p7w9UH
YM0L3EVwCmytw9BS0H8rcG9EpUB7KFz3tP/XaRlDxrtFOyz6Xhs1XhN9vwbZl4saTu5iW4/GhfLH
FHXl5ibKPgF3C33mBmrPyr8j+++67RRSpvZ4yBV3FhNYOFYUSI7bUnQWZ2Kbvi/1W1gWXIzQKkSy
BeUKS1dd4a66zivv3TrHRtPJ0m3LunwlWIKdppmjcb43oRTvtN9kXYQbNpgTpAj89pqNhbiSrQuH
aTkaI6QmteM/baaeiw4/tKbeYmhK3gq57NVorajweCOInsuWH+qYHOpFm0jKJ6pazu6ZO/rP87m8
6dgQFZ45p/uq9zZD1T8FyQrklwuXjflJqmHg68xAq6df/jEkedpSIkOXD912lrb9GdrpXmSSs323
04o0IjtFvC9NdkcLJL3H0yUpNHz1GhAw1Zq1mg6Q4fXWYminxc1GZ5o/88SqEDS2FOMG4CVEv/7b
vC6QaAqiSJk1kNKSmb+umuxjzG3FDsRrW1Sj/oFegrdvGvc8/z1oCNYrtEXHb5+XPiaqbHMY2YPS
RxXgfeo8JM9vNmR8v0Zx2ywsJs216HBnI3aBWtj/AFA/XGJAi4FhhfalJisXcVMcHQc8oRRFk/x4
APuC9v45qRPZ6a1UYiXWuA6dEu1udaagIQWlwEVWe+OJxjHkcTaDQimRbIaO+RiIrus17lb+PJvc
yAlbqCwi/wbstQ3iofSHg8rbziiVfU+HqRv8lS9FvL7ZWrTXoYQI+deiNB1si4d4JbVwGB2QrQbf
aoucdzlGYHDUwmHcy2zoIr5SwAdzP1gb0NkWS7Ld1kBODrgn4fvzGuTwSis8sRivmvpS/fv1gALK
N9PkyN8deOf4jtLrsLst3oT4GdROjy9fyO7AoARKmHcxV5tV6LP2nYsof+rC6gAykdorHVL/o4lC
9USAld15IkW9r3Vb/te1VNV9DpPU2geML3zPFZ/okFqVs42tqH/TtekqkCKxKXR2vZl3n4ahCO+H
guscFbRkZCydbWQieh4jcYVafGm9Rftox7mvsJX5Pfp2PZph6vXJppwxvB+xPo362npJCv4yZol/
HSVe95rM5jsaUutOOPkHdKGJE/XwFGkYX1PrQAMK4mCmRy+j85jovh+yIzraZgNQU62LZrBlD+m8
lSXwy6EZFIMO5LdL3ZbSl/KRxD1RmNVV/Bq16PPTa5jovDpKXKYIdWXLjMpNbHKALIDTv+fFcG6n
XB3IRIcarE5bf8oYyBwRhswjuORTxJkuwAOZ4Tf7ZnRSv9lY1eDd0VYio0ccndIBHI7RqrMsa0Hb
FLLRtoTObrbbjN9stICDqt/CDKp+zdEACsgQ+MI+kIahWdTftWZ+mOnE0O76RhhWqXbtugwUmQPE
BTcG+ic3rS6QTlldbNBmkG0aXU29eVXMvo8WEDQo6SVL9Cn5699g8jQkb42S4+y9weQJTo8qLZ/n
/uaYl9LebMI3GdqGyG6hiwiaRs9TDaauyAKjfzBY7nPUs1cIMpUXcvYdW4Akjz02RRt+UoxvycwL
CPHZEn24I0u857Eyxa4062xFXjcWxjoOIeVLw8hv3i4wLzn6v10AxcQPF0gCEWxAZQrUK9pcuqPL
syWGSLvQsHAB6FMWW+bZsAeBZ3DsIwWtaDdJvjVo5JgY+E8hBOdsJKs8kFpU2dNoQCNaBwBA6YPs
IrYvt5mQB+TfGgub4DByPudT4W4g7oKvlQvW+nwswA+jMSuDBrvcDmQrIbwCettye7OHSSs3DYCS
yHNBHOy3qTQ0CEyp56JPF3pR7wurT2mCL5Pbx2296LU+BR28qkeiik7bFBCsTh9ubrKpKearSSIR
RI7fl5jXqVsUipGFXtms9Y63g+wHsR9qQJfe7THQSEd7BNHe6ucpWg6HSXyIqbpk3GZd+G2IoaEN
rmR2ao0NDUANzdGCgdfx2d4UW7KThc46PUdmgp3wbnMzxxCUBKcdiqy/LPphvZv9l0VjCGINpUgC
f8nQOaX3FLQBcaPA245j9jpvUahwog+/7T/QKPwZol/A02on8GUMatUjssW/xvp6tYYnr/MOiLzz
fmZo5AqApuCQ2kWDlE7ZPogcDXymMaEZpWh88Ag3/qPy0JkOwpp/IWEXPFm4fyKHZ0XHKW3bA7MB
hIR+kf2Av7lccKMz/zG6C+l86Tluw97mRJYRHUWctIcpq9Takmqpigq7YmS0XzvcnxcDSFwurRhA
52HG2H3xYnoVPrgfwBeplrkAl6MvVbVCRSW9AHo87rxAGVvmi+oaWGGDnQ/6sOwQdMuaPEwl8n4c
BPv82ySraw2wrTrVtWvBexAo5u8cGaoCqhN4gUR/UOtvMre0n7N2POcqyL9ndoZOSry9fQK/Zose
U0Rww7SfWzmcKX/2t4j3Nf4zAk1swbJEF/Aq6LMn8FJA7llDGPq1ierWs6tEiwYw/kiAioqb3n4E
x9YMcyhqG1BPqGFs7BHsVT34dre1XQ7LqnLYnpAQaZnMi9L8bkWLKqAlaVHCUKCx058X7S3Vr1OI
lgBajHcV05f3sdmUR2gbYAcCcbJ5iB56cSXeWAsm5E7AsKJNZNemNjXLIy3xvg6ZIOi59FPDwp8Z
9P0eQI9ovALJR3ycPJZdhBbS6zkvv/fQG+ddGL6qyYxWOTZac4TbmcOCA6QTAmm38USKBqr3fCro
AMSlqnMLDsjIKcqf3owueLAhc2lg60KzUbRpFgycD/qBHHurapyQXlNFcSlqcIm2mu+tb9IRgKo/
Ha1nYC+hHTEyavOMbAjxLdaOOK2dI7PBQ3wakaoqKmGKh7f8jrT9YjOiQE16d6toUObXLnuBUmjx
HZk+c5mEajpbwDcd0cAOirC3gHJI1m1uAM9npMFWdf3GNTv/4KnI9VdIl2SbEtSJQBlZyexODOYf
Evx7QD8EvcocrXe7nKGJnf5lgFmvbaD/X/oRTB83O7hx1k6e8Ze/xHvazpKwArJRgIusAr1HnrX4
leqcJI3NIG4XKBu7ELRD7iKsrXHheEUHydjGfhGovLQdkpBIDpx529cLYtkEzwoorQzwHdLQgcT7
/5zUWA7AeaU6IUlVgf5WHwzwVAJeCP2Mbvpp044UMmVQhJGAPZneWoHduLaC5pgKpa5cH8rRXYu6
Aru7HtEBgH8nEXjp1Jaw6M1Lj1oxjUDpCD4OIPsgiRwfbqZ0bIuDHMwvZKKD14fVLjBZN88USct3
Zev+gERPfwD3J2SM+jEbIA5a9UsQobuoMcka+XZtJA9F0tkcTmMnLn6UuWkCL5ONR2yZrHUzDXJB
WEtLovsG7+Xw0Jhi6IwOYEkDb0F2vJlB3wsAZ933bxNaAYntZjIvGfMhZWR0oY97ssHwl+vbaK2a
OFilma0excCRR3XDKzOB5eJjDfZQzzIO5JykaaKhEkLr5A0Ct7mDaHW0JG+AR83JU/5XdBarRxdc
0A+QA6jatu2XVWtcGgluMYqsXHRnN6o0d7QOa/HTEa5Ua/Iy0cu9hX5XsGHiEwHHkd6nrN7TshQB
JCQI+4zmE42SEkSU2HI2R1oNOaseJPaNAo2WB71RB3p4rjVgGzZx9hShmRUFjwQ0UVAivZP4Iu9s
0Oie0JWNW3Mb148NyDEWpoQyW4U/WoSETwy5ILEy43S86+MSgAudU8V22lomCW/AiodhwSpuL4Bm
yE54KIGvpXbQbGM4/irtUmuZR8UvgdyHCEDUFBuzbKACrEtwhi7BRbo0lyMHFA5jdyYTOT0BAhsz
dOSGIsjh9SByovlkuy1iuT0wukV/JrspDAlJGmhmoV/fOrZ9U97VPLpGk+GA+osoreKCgcjKAkfq
FKXfCzzLQa6iPVyEOIUWTLbxoB28ICO4mxFOp3MoqCvLdd+jLAV56lUYvvCqU5dbCkAZDtoCosS4
o8QBORLhjBDCFu0KN1j7nhw5E6h5V9YLCDLyvV9VJW58Ids6RR+e6w66BoWbQFAhmqal2frpSyeD
auFPRfS1CZqzlEjIL8bptcaGD3/VqkMHydD8yJzi2ZVZ+dob+K9F/7J6wn6gWPEyF9d+qJAQcFzr
FPBxulOx3+8bM5RQ5WV/XLkanY9XdvWVDV6fa1Uhz1Llryjaf7zy0GfPaV2Yy7R0hsuUlBuQmIGN
e3KMrVMp46st8T0P+4yBDLsN1qD4D4/o+R/2qKNbW1um5n0GQrOlL5r6syv6Fw3axvx/QW2ESueU
fTUsw3yJBz9bMfzo7+M8Mrbo3073SZaK09il09oNp+rR5xEIo7ljfYOQxtvHsPAxjCiOv/U2koC/
fQw1hX98jMQJql8+RosXm5ON9+RlP+L33EjIV6AIUTyCCra62h1uK3rkhCYOwPKVvirPZMLblliF
wu63NKTpfAJWiYadPc7T0dfti6WeisYA9JiDFNmfnGQ12Nx9iCqruGInBWBC5z5AT8B9GGKdhIEI
0oFsbRxr1K/mugLJ8QMQRsXVi96mQxIM9cTERTbB6c1j3zlvB6HPMsDfPWMAulSPvGSYkFvJbSRO
tQfkPFDtscydCZbKFek6OBayCyiBTEewwUJTz/xOZqiLQipGR5FODUWVk1LHujGveG+Jlkldgw9T
Sac9DppBhQ6sGwa8H4MMOgH94+7mgDQCos33aDW266qL7iDX2S9t5M92VLzLM3BfgWEiABkqcNbk
Bed1uKPCX8EmyPEGoJf1omg9AwcmyfkiimSwrRKrtVek925pIzQVgi0Ju5NYPJ2Rl4HFbdFpb9MB
O9PLDqrrIAm7TNx+ZMRSq0fKMx+JwpZ8enTz6UjzPfLXeRAYniNru7XRSAZYWCRdtc46cCjRK+D8
NkjGMamhE6JfFqlUToc52ulsdPmiNH87hMpQa1Xj7Vdy7y51DBsghUS9Ati1qvMwe1FJW6PVD3bi
ps2SEEwWTT7bA6UZxoJIvWr7Ld5izg+8vkncw5B7GTVjOx26jKFbRPYJ0m2w3byxjiv8bgLYgXaL
ZV7wc2zhwdV1Ep0WuswThlG8Gu2C7am641f306TEy29R0k91bXGfYwd/NfCf1tseChdB4juroOQo
cGphVmmL8doo/JdSWWNg2LNReW20Df+aO6b9AJadtYHnDTRT3P5o5NivkVINyy28zjGOJiKtYwPZ
lxLQdC4O5O1yd69AW/EpjrlDa5B5gLTokRdYg5a0kQcDHikrFgWvMihY9fyhVk0D+h0AlRo74Q8V
iPtB1hIspxHss8vGHqBpGEX+pnG8N2+GbTVNJdPf5usIcvposFu70KRB70Drd7X+p4iZwNyvnOaI
f4qYOctNl7dH8k66Mk5eVMcRzMFvfvPSr4mG3Gcf5/4tmH5ruKtlR3koE39cll5oPBqx+uNMjezN
Jt/PfoszUmi5j6Idt6LM7AMfA5Du6C8tcBCfVD2qB3fo7EPdqxyqhvhytqD7trF7+WCnL3P0M16m
4AKdhkp65rr2fCSIQGJymARnB8U6bwVJeHtBtpvjb0PkElizoHk3t11O3qrjUMj+zWHp9XM8cVdd
YEPiy7D4hQ5FlT+if9UH4vGnic7A6xYuwRufryvSyyRjnQrQpngBKNB+jU44wO659+1mtlWc3K5Q
+NXbFXwX2C3NGhcuWczzNc24BXtG8RDLYmcYYNlE91K6aIox3XRQ+YSWXMB23WQ2Z1NXeg1ehAez
B8RAV3rxpBWfBHJOkFlooNuqI8hRCGdnoYdsnoT24n4lIG6mrCk6Q460Wxh5WH/papQjXVbwQxEN
9Qv0yGZ7q6BSBEEiZ91kbfOlxruqZVXVJ7uMwFZUKCCNtX3Q09EBFd+mN5BcfYi9/hkiF9UK2nvZ
gzSRbqEzskltU9pGZ/9/4owK6YXSBNf0OHJrGdoT6Pb1Hc3dToPqPjuMq4MygVkma5YX1nKUuKPU
3IZ+xbqfQIIdQoTHAEHephWptSWhi8m3z65VmZ+yYszuE8H+ITNFBUlgbkvHUZ91lBn6W7sAHqYy
nAe8a5YHy8VNAPV494FsFeerEU2OV9u13YcUQs0rH6jrLUXQBEch3akFYB/IpicMHthb5zxAwOIE
IL5sDdZu/gK4dLuLhpatuU59+bC7nfvRXmFb9Krj/2aXUw712SZa8JH356yUwSZjQ7WuSl48gcbQ
voMuZbjkUVc8Sd6iadmP/YURYphOEZISNegxKdiyweczFPJMzqxOp08ZSMhivDpJ6Gytirhij6yX
yVX6nbwbMi8wkYbzun2Nh2W+kFYc7Rx7a7lCDP+Qw6hAd3Uo2Njt53DI9kFvBiJUQE81YGGZ6vHs
JFX/0q280ZEvpiE6CE6N+YKGcd1rhkkDMrDaC1XSGuIKaGWhYTFCwSx25QMq0+E16L0TmfHXBUNR
DJB7nbVYMoAKWgEhmDvy+pZ6jRzVbbIc+7vb4xbZkVwtEmRIoAXw4TFMT9vbwzca17qp90MA+Tgp
sMA5QeZlflbTRIYcdAIypKMDdnfsIS25GXSVrejH7lMyRZuu5/GFTL0ZQO+Yt/+Qj0y3STfbr5O6
cWoOVi//ofj/10lJD7QY2B7w0XoRIE/qj5cwjQH1qIW0m2+qjQ9GirfNhzLqqscyi/619FtX47fJ
IsDL5Al0gvY89H4dkvcWjIyVON2GMkPHmZXHzSo0dpGjO4tHO5juMYqpz3j468j2y3Ihc6/5BEgI
W7oFZ9eAWWoDWen2CCK4YS8FxHJCPxAX5JftlQHAxNPUQEhDVU37LWj4TljA2y4qwLnBTwCh0ML+
BuUd/tljPltmKLfNSw6Gpn30y7cl5QTAUi/dtyXRUn6M8d1NOiE/GxUbQM2IM4UevAV0DuTnUuCa
dCa17a9xlT2BJjYEYely7Aq+IW2wCGmVk+eD4qIBcfKahm3fQigcipykFEaaYXXB/NO7naTFPCQw
8DDOUrwLnoISssELnDgRnj8LSHXMJx9d/yPGBOBnP0yJvYl7u1/xyY92SRiqzz7krHtZ1c/CqtJT
DoboxQhdj88UliSZsQNHMHQ2HX9RsyG8SzMWbTmaFVdoTHbWiazxf13nU7+yqxy6HzRWndODVsRx
1iNEhaAL6k1r2/S3wDL9E7kq3hFvPUBX3YXO3u03E9kn15rjieKeTK4GjIyw46ka78hOJnL+X+2/
rY/v+IfP8+v69DlDQnS8ry2ZuwnR1baxDM/BF/LnYQCRrWL9pS8z8L43MkDpoky/tbYfZWtg25H/
aXuQjOgJc4w9pRB6SX2owqS4S/+51M3yvtw8PQWlrzcWUAjXaghO5epvkaiXoRXkG7KRdkIP5tOz
zM2FPTDwYuNRajuxtUNp1JxxYzLInYUrgv7kg2X+KWnstwdwWr+FzTAyHRZ2VX8Ca4j3lP0Mm7rx
j9V+DaPpVRTjv9jDt9+esDGGAtOlq11o0tuNf01E4lyB9pToH8YXvTKPeQdmC4oUjt3deZ4dgCuR
YVOi49spAdUhb8F1SzHKcL1FK4CmY6ixzDH6CmBfdj9cwVzN4bmMpiNoI+4pmpYdQ9y37Lk4ZIpx
P/pArTiRUdzl0MF8NmuUJCI/ik80BNXfti265MGAIt1DoeyV0j2uWW4zdD2JakHDabLsO5Axm7M3
HzmAMGNZ3pGXluQQ3DjRUC+pcnDy0ZIl6HXyPu5ObhyBFsUIkazgS0Z5E30QbQGYOOTgjpRL6eN6
giZeEm9oaGVcHpgJzaKh4eVjjLrRg5PPqRQKaBtQPt+mC9GYy9Dv11ZnQ6UwTsPr2KBVjWm10FoO
oJ3wOwCN+wHsD39GyKA7tCMe9b9FADmFtLguefxlDR/799WY2NCHxztLwdZA4iCl4tkOjpOm3R9S
Y0NE+rNt9oNUHyT7TQsWWLc0rK3bOKhKMLCaopzWHH0aomQyDwlhQ5gaLt3ZdMPUvE9qdBmMot5N
NKLQ94kM7QhHHqOVOmXVpc+zA+QH/QdAg/0Hn7FntHG1J5DE+pAsb4I18tvjmpydb4QnhZRVp51k
Ksv8XPk5AystZmeJm67RUt9uaHpgCgs70fbbPFtPgpTGFvD+5J5MZjDgpQrEz1v6BOMQ9AcOPeAF
eWkNhhpcabLhSiZZG+ggkn52Rx8B6trN3mWeCQDIz08E0h+ofhmfyNKZBVSfpm9Rmgw7SsAJEORu
p6av5wSeTOzujAftlZz0JUM1FqLvKb/SF4xnHdo+fp0uirpecY+BvrnMgl2C5wCwu8GuC5vi0WVp
+VjgPckes/ESNza+4y5zli7j4o6cQEhPdzaIEpY04X067lcFSFyVvw68Kj3b9gOBJhgeQitAeiew
74DvPmtQVG7lmHwDDe5Xr4e+D4hGwl3Bocbo57n1ionkp4mqNoKVmwI0U64MM2U7V0PwLaNRdyiL
Wxp6Ia6oC7uLqG7zTQDWAgkZpM99lthgO81RwdCVxU5LuWg7kLXsg/3XeNQMTyxseb9D6/IICGsG
pILO/P2WA6z9pF7aCQoaN8eHZGFLmUBfglWzTHAPH4YKXBoyukLFK7p6FqoseD0OtwNkbK/gCEDO
30PrlwzCI0WwKLXux/7rpFw3XeYh9zR9+I/Il166dDU7cKuXpFhag5Z0mxaaffoKzcCQvO2h3h0N
aHrTOzvclzzI+MXdjoYtM1ccrLBPCXYeeG35M4weFYMLBe2w6P4a1ujVCMj8Hqb3MfNqZKeLGr0j
bhel1foBjMpDJgGcgDDZtpuy7ABdsPxQWIazVUAhXLisAGOvrOChj5C6bphbfWEJ/5JwWf9oUujd
Zf7IF/YICHTLqx992HxRBi+/FE2ZQhon8x8Uw4+5Nnh+gUDF21Uaa/x4Fc9J0jXqYC3oj18b23xj
jYHStDwAs0UcMR/M0IacaWX+ZqNJmoIjiK0lwK/BOkfu7QEiMdXeRckGwjyu80C2WHzupDN8khYe
B6EL2eF2AhfWLR7SV4A0ChNvqa3VXufDy9BNEC2tnHtXjd7e1i+rHrAbGytTKcrYk7ig2D4C7fqr
cRaPJ6OtI9O1sx9FEPxTZebRBMvJ7cT3rNkS/jz5JaZKQ/WcdM0rvSPT2zK9KKsBYvMiMndkl2Fw
4XYA7EM+feljyA7c0ruUBtZ2h0Hs3PHiDXUeKPlcx1CqgFSEtUpQZ4TkXDqd7UiYSwpww+esa5wl
L9Gs3oo4X4rJjDdT4jpnA4jb+WCFjB9D4ayHIkJ6ixwUIiG3tCzxI9uQbUD/38p0kxjCdL24DBJ0
IZ2bjZuqFPj7NZWBBKRQe7w0qs9gz/UhUeka+14PGds04ei/1CCvObgB1Pu41o62islf9gIU/pNv
lGDCqn/UyjZe9UmQ1W8nFvhxMwFBENdCdbG0cuu5CbpuxXvhXKQFbYGsTYo9CgZgdIimcF0zqCKk
VlQu8xrkO7GWpyv1WR8A7Q0gD8amhaJfOprW+r9jKJAOaQq2E66jb4vRGS++lmUXYrtlH2nLOVR8
umfGdCQZsixl6l77aIdJvpbh26I3p+++/zUPfChguR+d1xayDAsQH/EHbkfBRgXA2EjQGJ5YGibr
vhHWc2X0X4tqhJp5Ah48vNV9B92zvRj1JIP9nATw7XhCQ08KZk3DfJ7GcZ4EWdV5UlshoQW4iREN
2SFpXGOZTzJdIueUHeJoBEk7ebooVW+n5JoyEwkUt5j29ogCWqnbKisDjeCJBeF1aIElxzACg4ZR
iPaT4aT1sqoFf1WFvPguer0Wg/w6iKD7gZapf3ngBs9+boOHORidS+abGXSfBN/jL1ufMmWztXAC
/4Gl4iWJ4u2k60d0kJUKga3h6BuncW6jXJy5496iCtSHmHc3D7ja06gzoTjfqXDaEiSoGqFTPrTI
6M0IIQ0fAiXL323CAwMFiVJTMMWN73MJdUTrUdx/rue2eEcPsu4I/g20p5i+sbplWAbHfARLOjA3
OklTOgAFVq4HqjKNjtYHmhRB22l9s01peLaM1wbb7n0ShDV2yaYx4m8Yr+bhKAvvomSRonM3CZEu
AHFSog/kAJNdtLDdkm8/RONtedWqfDjdgl1fE3tn9cOHMAi5J+vRLVpwgb+AICY8iap27UWHfMAu
tKOXmrHorAT2LSvA7zeeDQayOQQ9V9MiTSIDdxdVrIAngqjB7f40srwGmfWabkwd2R3VO+cy74qV
1MHkiXJU4BamAEAwFXPwbzc/Wr1gtgWyRbSla7ZDT9MjxqxEXyadmkR8eHORUVqpA1QfsBl6Cmng
fYjjg1XxFQW6iYX2ILv27R1z5GybV7BVfddCps3hi6IuIDdhWc59kk3NnZt0+a60XXWZIAQJjbi0
+TJC7tE3YuNHIJs7r2L+a+cX45ImFV7a3MncAvNI2KuLjSXnSYXpneiO4JTdHXJE3jwpAq7tPkzV
mkGhb1HoTgVPdyrQoR6bJZJW4cl2pAVcjd7ag2uDg/4KrQcgZHyLw64JzCWiboA3R8pn8T7ZrBK5
hT4a5I1RzrkAMzxeikw2J+ZBoV6wwoP4DihQzKRV+yo0rzTytInOwFuS3/Webk/QU2kRcpRGnG3M
GvA7P2rLt1XCPO9WrEcmNbGCKFmXDjaaY8ZASHi7FGpL+DRA0NzRaqNK76I0FWcBUoV1EMhkTb+o
Sv+szKR8gJIbO9KojcLuVDY9eP/go0PYmHLtAXGxTqvwzYbO1WtUGcH8W0RXbXmqJ/tC8fRTBHm8
WMdcNuvbQjIS9zZki0+0DpLDoN9QfookEyhVas1/ZWXJv0Km/r07QLxbRGCtJ7vwXH9ptRY7tHE5
PrGUbzsVWF9yaUHJumzVlsIylNBzCxv7dhrY/r+WnZhRLzwJGi5atohkubcJFtgavX2HrsFoXbhT
tyEWMhqmyK1/GHI9JMoys22i9c0bSSQlzPLfGI+FpwGaQnuR4V9JQ4cjW155ARoRtDd1NUckr4FL
1EMzBfZQaJp+GqJkkJyyusvmYaykeYpr48e8Eioe5zQuv9IoFq57Hjrz2Z+m6akrRXcxoCNGPm7Z
/L7NwzP5RiAX71tlgzMAVwSjRnPFC9ZdBIKVp8SYDGCK1IZ8xcCsTx4IA2le7/btg+qSJfnqKU4e
veLfGt+8rUyBde+jcniQRZmBlisfDp4mdwJs2L5LmVNDSwd8UXMIumka23WvNErLnAEDmFgbGg4W
MNxlFp5pRJNKvKAvkCAYDjSkJf2gv/pZ+qg07Uk+tNknQ2dty5o7W7xgDJC74fVuRO/+mUJQlOFn
aFDsbhO6QphbNAIAQaEXoUNfJGJeJC6aYWcDurwAw0SIUnbtLdImBJq5dhxjwQyXQ2RLhCunn6L7
Oq+ie3RL5ncJ5I0WJsU0DG12Zd2fyUsHClb7Moy9+zkoa3FzafEdmNfNQjAlmW4W390m3a5V6stY
KShsw6x0V2i4AoYkjE12cPHHeX8XKGQCtDaNPzz9x0Tl695HErzuzG3a58Odh26hh5i7//B0Kr6X
ZojKgV89FaBL+1tA1vpPoarqOQAP3uGuVth06RVybJY++eCRWSQeNO1LK65Pfm7YL0xspqhIXupm
bM5jEgOnrc19Kfk2A3B8g2KU/XKb9DbE23qKTNY0VYf5yTiyEL+RhFdo74M80odDHwHwxgcFlV84
Wv1spTPIvPtnbHgSewxXZAkZw3tOVlXbKC+hhuc6IWRdc7F2BUufRIFXwaSLu38q5KoM5jj/CpSx
al+lX9wOSY0c+GzstHtsD/H6vbfqFs12enoEsZt5+hSY7RNKHsM6zfG232oshKfxEaJ18Lj0+zON
fBNsClOXiaWlLOA7tLcP5Js3jtEu37gVEFN66vv8MBjLjRmCwTQBhTVyAWiEH3QLSm6DVgU/kAfU
7QNwRWEvMPjMfO3lI/kjcLutmB1OB5qY64mdnthM42OTJ2rv67aKpgvKs6vPaBh7EX6n0XC0Jmht
g4UD/IxNJY8URhGTEVfbrgdZ7A7go34ZuEWDiqcy5t6AKE+rRWKZ8t4agvoM7IsBNCtKp56sK3w/
ay1O+nOGHWfhFYSA4DDPne++CMSBHk59m4RnyKBtO44n/bJl8bABk167ur3q6QmezLsDmSRo+jZm
YAMkjfSoSL3xNcrrHYh3jB+Wax0hXDp9EWAWWPro97+AN8u4c3tzuEN7KVCbepLvom8xNZvdNPLq
MkVOuchUyU+57krNEsCjJSSB5tG73RVuKVaFLPalDS7FG8kMYKHQ9TF6H+yqZrknR46v17rKHdT4
WQQl195UpwYMaS/9v7W0+peYjTE4csGKFjah/SLA/7VJLTluKAisrW9zmNc4L9Z3J87vZFMm176x
+QMrbADjcxP0VW2aPOSiao+443wh58R5fQJF9akcvfxoqyxfQRkXAot6GPZ4Ai7olA6RkeIWpj1q
zODxIdyphXq8NRkH9xsgcfnVUX5zzoEfXXRDaH7m7WisqoaVOxpmqFhAHVM+ZZbeggFnu+Bghvkc
pc0IbIUZ7HwepAd0nXpLvA4t+kyI56mI+ck0VAgCXcAAICTbrYwqiPeVHuowocPMuOEn5CuhiRa3
KIYBhbUClQ3f0/A9zNKrASwGbjQCFUztN3R2gGGrrr6GHnLqOmOemq0E0qoPzmNYVkd0xHmr9wiU
JNACkEq59HRE1IFSniKgSVR9jZu3NSjCgOIcuIjAkfx/WPuyHrl5ZMu/0ujnEUYbSWkwdx5y32uv
cvlFsF22dmqltl8/h6H6nGV/7m5c4AKGIAaDVFY6JZERcc7BA8m8b5FMW08VMCBDUVn3gNJb91nj
b2pEKW/II48TBxUH/rBAdAo8uyLh0wJPm3FPzq4DYHYz1qi5wlAaUes5EY6s127RT/my5MZm6Nir
DU2tfQo6pkWrmWHYFJRHakKkxnliqnlvhsMYb2JAlVdD1fBdKSEYRnt1jr961xR9vKKNPPVSk3br
V2e37YMjgjrJgrJarduCKjiR3SauPQNFyrk6NK7jHU1Ubc3ZsTQAJdeADCsNIDulzupxiLcjaoDm
ma4Dfp8TkSKoEq7SCMseO0OhW5R36a2f4o02TOKuCiRMqCE4Drb3+WrqEg5JBDfvl2GbqWQporxZ
JUabbuZ2GU6aszx29nPbCvDyrQp5oSmKnKe346CwP9SDUW83z58BYguSuuGQxcc87NMTVjvvh8lL
UOzzezsqyu6Y10ey04g28B3QqJpENeNchC42n7oAgsECWEonMOwF2ZjuwH9/sZQoilpfaUDoDGF0
pFFRaRfF+cPERvY4NCiTGeMb1RjskSyOMe1BH6FuG23qHLNaJKUSR/KQyEis6gZKaLVRc6yoAJVs
KnBI0dAIUrIHgLH8BTUBibUu/+FKwqnUbYwSlxpZeF9lDEjpqcqPrT7Eg4O2GqMcNUNTfqQz6i5c
NYCc2BnA2/hzTEju1E+e5VSCz+f3U+o36q5aQ0or3rpZmK5IN3yfa3RYid/Jyq7N/qxQgH9mWZau
MtN2jgMvvjdBqk5Wr94PYeKqE9m4B3495mZH6py0hwJbA+JoP12oZwCCDpTO4FXLjbtrmmrqRHQ0
x+q1+Yksd5FmIBOlqehgtKCo1F7UIlcaOEXtPHDOaP0113X6X+ci+88rXuey/7oizWxL6RyBxcbj
Ew+jKgXylip4vZ9NbHfsp6TFY+Xai+XExyb1IiEeZXZ9dpnRnwe7CfZ4tR1aO0HFDtnmUw8FKvvE
sg5ko4PkJfDM+gCYAUhKX6IWOwjwdjVifDJQfu8lxkvZVsVX6XgvHn4IX0EFPZ+gnnQ++aXLDAbx
DKmMg+6WeuR/mOJ/3AcSYEB5gb97zRRjp2rg7oKIHvIoizY1dGpndghHQNmlLE12afEnP9veYzzZ
zsufBgWeXc/sEH8fNCSl8xI6bnzqJcCXKjeGWzq0sciglbm8WiYE4m55rBfkaaRFX03NZilLa2vF
2KPy3ho/DM3U0giqIpin7CxwdZiDDkroK+iY3m0VRNY2DUAESzYXGcpF3QoJalBZrjtg6veBaLLn
0Zi2srJR1KrtppP6V3sfFu92Aca2fYX6umdWYA/50371/9VeVMCvUfZqTnzp7BUoL6HJPM7Jsgq0
tSfl14/X/FnW2dW2Y96wvObPeqQwEYWNvc01Kabc8DUL3eFIptkeLYsAiDLKuU1GkJ4ip3y8Xlrh
gbOtqmhcXqepg+7j1NQxWtk8NU1kgsr5VnF7OVlACDZ8QmAwQ0nKJSs5Xxp1kwMHMASXuQdPqHEP
XMtTrm3kV9sBFBRRQbKlGeaxNMHPWXqw+wDQpCf9ecDydJ7parrOWcXpFu8bcaRO1IHdJyxTpw4w
/tWQC6y49UJmXnngxVeOLlKz2uSBZ3pXZCOounSTlitMhsi19UF6JBv3QHCAovAb6pzd9LwcqfDN
1SbtH9dpjdH7OC0N8g0Es5K+SbGPwjKIpu3AaE2ddGh/Ths02CqMJVZVQ2uwfdliZUfrGS9EHQQ1
aT1DTe51PYBISE1cm9QLLBvul/Tkhdj1dEAQb4Nh+uK32BKFwuxOIBTHGo/aQhvpjA5xICERm9Zb
GhqAZR2vDT2E2tcZggIE/05X3/9mn2f+cJEx8+OF8GS/QYij2w8ifLDdzvwsIMTqByz+lqukW9ZD
4l0g+NueQOMBOOFY+F+s6kwODKrEy0KAU74ayvIsoSOyog4OCaAcgPu6qFa86uOzH4X5JZpQe4DU
VvyN249daU1fHIDSV9CxlXrZHGyRIkbsoYFwJ9654+fcdJtFnDrhrZTcvVAHtgDAVugOAxC7uaM0
wL8c2MBRDNVBWBGoFZkugRqa/p5sfctQZTd2432FyODGCY3+Jsgi+8aqzbtGL2oTpJKo1bdGtDHA
mA9FYIg8hkLYB0RV9gRquQJdqAl1Z3YA+fncSf5kp8OI1NKBxXz3u11PC3Zo41BY7e6Dv7bTBdLJ
iI4A5Mydvw0Hehf5Y7OfP94Vb0NuKImUx6nMttdpbdTUnxOvX1ZGM5w5R0JnQE3+TRfgdQ2gWXzf
pD7KfgsoNgy1L5eWa5UvoqkB4+vr7LPnoQqg7+U3PwV5kuTqh3LlKk1zAf3QeySDEuxSsmZZ+k7w
A6kzlHFn6dchfgNGr3pylRrXER6Np8qUxdFCdnUzeS4WlSAfWIS5135z7HBpTFn+Axzcz4qN7otv
DAjuI/J+4YZp7gsX0H2BPdldIr1u2bem9Xl0u33PreyHKaaDGv3qM4o2IdAF9kOhmkXUd9ODactk
G7hVeqhEk964XhSuLL/rP6OSfjuWafbdHKNPKkvG564fRuw+LXnyLeWecGcXa9GJ4kUohAO1q9NO
+1h40bGqY7Ysw0SBAps1x9izpoe2sR7A08E+Q6MZak6B256gH1beg6btK9nxxyAq01X9WYK27q5u
IhRSx97K8AGuAwFmeDFyGZ8rK8Jm33G6rzVb8ySW31BcA5ks7WA3fNwCQxmtEzuVtwC/yNsiAMAL
AYcS8XqW31rQXvMWZY5PPGU3ZAKGy0BmuvedaDEYxS402mTT66IP/Fcbd7aXxQuEjfuDo997c0cA
tMAUFLfUinhQnHM7Ol8HZQXe+mMUg8Tz50QSCeMVbqZkY1CJCBbU7xOTj4isZpF79Tcie5s0H2eZ
qvHY5gvJNOXbTPw2H8mHDh/a5RBOxwa1rsryDpCwWTAOFo8icy5zzcIEaQwEB5IN1TiE0m7OAGg8
UyeZeGSdbad7929Q4Y40WciORu2xJdFRuEX9qYhd695G0Oz0B3tXyY/2xG4/sax5969QALQk9gr8
bj75QWLfDyHQVHMkSwZd887viiTISXBwg1JNAkHVcvAvtHUL7onAvcUXUzx1kGTatYBwb9rRsT5N
ePCGSkRf8QoDfUqTGqdRsekGKtUeiDIASNYjkdMtngY9sikQGAp5OY8kBxYABEYjHVRU3KgEouPi
r5F0TVOgRJFGssgzPzUoPiIHrPSAvQjXeVi796gQTzb4z/BPfRqDbxji1TuncUrkBSIHauHKhB61
A3pVx06/QbpoM5ZiCoFJjNbg6LK+JS6QhaiYTZ7ZZPYr3+7tm6IPjW03de2BV+14Qp4d4uOiqO4r
POYBz+vkK5YRj0GK4t5FdD+pGoxhpSi1qoj72himXP7ps03K+dtnC0vzw2eLDQMiuxr7RdCtaGjy
ZeNE7WEGZ+kmqubbA8G+Gtu4B46k2Zd9mvYLRFZBIUfhOq8W1dqJwRgwGznStmtviIwF0tgSu9ZW
bAaImS2jIcC3TsamiPGODtlp0ipegz5IZYpNE0LsXJTD1hmEPBgoCTn3XA1nOqODSgowlAWcr64d
VRV8jRszWOS1GDZOEjp7T5TRvTdqSNsIql9UnpwA8SxfyGN0HRv5TecJ6J9+CT328DDgUeJc0/of
YvzzKTlNcKIUgEhitumHCNt+sNGNCO4y4QGDEmTrSpcVN07TLqwWlYEdyoIeOUOJtJtOn8gtMEFz
ysoSEbgOe404bttLq926EFg+PfxPbgPu/K1EKSJkrIR6qvN8Cyg38nq48zY2i6Ztrpt9Vi4T6Ia8
pLIyD6nNITtuTOaryYbvY+J7t0g0Dzdg0wZiXfs7ls+XjRLIXOlpcyW35D8m4n3aAnHj3ZQD2Q5q
bTDsbjzUjC2RXYz3tLWlZmkmyX7e+OpeIDbiD03EMuN9UpnIRFdAl3pUuBrGrFtYVsfWvvTNE6Nq
V7wkOr4BPOP2/YpQpzmGLeI02WS3J4BMQC+Rg6j6BIHOwN6EJUDlhRj6DfXTwRDxl4SX9naQtgKG
BYdYht25aKoCUP6MgUHG48OCjHHRvPs4XKll2TTI/mpv6lAiHMB/CaWFtETyFlrr6qz6AMWE0Jda
tgUkGvsU1fxI3eMUK692A8a3duEhNDksyFjrHjrzUCmzLypxc7WXlg3qj7lXOSurRKHhgJUBw2v8
2NCNhlsoOrepi3uOTiPvoXSyBApniJvTATmqrEdI9692C34hCV5/snwYSe0pjS1oli9prusYCAkh
FK8Pdi6ctTtkPLuAHqzdmOACv5RW4JxN9WTpci86kJnOpqh3ljwZ5TrGSkVgDxJ4pynMl+SSkm30
ZQ39nshdX2eoY/MJu5MINH2ekgsDqmQHXx/oLExZK8GkwGHEfs5fk7Wdahflu9qLCRdK5824Ix8y
uaz4azRNeW2TDzWLImfu8trDLVGsLA5BybpHwqiX8fshQTSyBl4e7WzwKhAOhd9nW0Y95M5qUWy6
3PhBEcgPQco0jqHyE4E8vUU1+wl7x4/RzN+CmzTYY+GTERvPqIJ2zrYBfsDeiUYoxY/JuRozCe4l
ZdwBhGYvqzayEePJwgUYI+XbEKZrFClK1H7EEK5hQfRdJdXXIuTtp3pE3t7gkXmPBY8H7snGxP9j
ke7x0urAglMDzS/SNcfLFfcDk/gukn48zaeGo4yDVWNNJdMKSCLdQwfeozJrBC3egN1gG9sA7YEO
4xWFl3cQ66wfvKn0TwAL1kuyGwrki0UdVTdp4Ey3PhuwftEDInAFIGNUsKMLfPGjV0BOtzflU1hM
9WIAI9+JDmNv5CdTH642aqpeNUuW2ZtiQkF4L5tzw8PiyUcV7H3jBUvTriPUtaxqLrMnNrTFEyKv
KG8s1T05hkV2QZWUd0OtOqnfBlmN8yTQqwOtahbhPtRzFnpDiwdRv6dmNrFphVogd0vN1iuRHkSA
e0PNMQ4a7MZqb+Xoi4IrNN4ju+EsqReZeONQFaC3oF6Pd/G5bbFCpV5zsOsbhAzuqBNL13hRstHc
5YbhTGBbTmsAMupDi8UBQkl5Gpzx2wrOdGb05SfwZfc72yrYtLCroEMAfgQTvJVjY5hDmVmf0SGE
KsAhiHG4Nv/kdx1GI8iFhl2b//2prpf8barfPsH1Gr/5UYdoerXvrIcggsiyAZWQYkGn1wOIP9iq
cMphAaGE7HjtEDEo6asi/2sIta/dnp7x2qSz3y+QtchIWgIsh/9+mqj6+cHoKvRJZuP1qmTkdeUW
C+5ad5OKsXfTH+I6hJqzC53SkLJMXqC8We0NJy5uW0hDMqSCTlIzdtKhHBmqQIygXI62827r6SxJ
NwZEjc6jvgNQG62aTa1SYCV+jqURRYJquUHY56t9MoHdnjI8ieiq144R9Do979OL9CKszFXU8XVa
xv5yvuLPiRGlAnAbHN49XTtTErvkykpW81Q0OFKvmeijm3mqTFnlOoqNanbxDf/igIRoC4YJdeDK
VIf5TGTd+9kfbOQyeK7IcGNjHB3kz7OrjetprrNSx9VWgSV0mbi440Hv5t+XnQA3VQQmdWoGLPXv
lQ0J7T61byLtUUFebRe1rFtSZ+V6/n2BeEte9eZ5HtQrKAUCxIPIF0pEpWrkjec4F9CkVG/lxC4G
N8s3V4lLJHAiYfGCpDmJOAM3k28Ge1EPT1SQTmXooa5FRyRgtl9N5EH2vJpugDJfmCM2BBlLbkGg
594lcSIueCCtqUUHYwKbc+a0b90Ypsj0tajIK/2qWXo8AIuByMNjnbl6P1/x1/bnWZpY7zY66zKX
v0bRmC3MIhevc2+4NS3/IVUqvWOMpXfgveanpp2OZII4RHrXohD/JsCzDKp5Q7gkt667i0DGdEte
dGjrZpc6RX+m1hAn6V0ti5dCSDBp6JnJNDTgrOCGHe6vtq5w6qWXmOmWXKgjUzlAFwVAPGSjOaMK
cqJh66ar61VDoZxtOoCB+jpf6GT2XlgD6rUsDx84KSbv6PL2jobRn4S6iApKpeWH2a0KNLzJ/BGu
f0KKHWUP9q/L1SSD+nbwRXS6fjIlgnhhgSYRmFR8YeTb8DpYGAYXH/6qyg5QRmqDropc6OBP4ABp
rMaa/yqaVHQ+RPfyXC2vlzVb6e2MCnXr17+0qzvjYHr9p+sXhwApeP9Vtr9+ukEy/6YIX2mu+f/Q
H0oddR1v5uZUugcwbPQaTNPvhQ2RBKPIhy9J0z7aWZ4+JpBsPAjTRIWutkPPzjGK9jJhHY7iT6/Z
tKAy2nt56T4pEN2Rk8lta9lysz7HDjNWBivyhYIA30M3WM99O8pzr1u89KcNakXAnFz51kPNh/rW
A+lV66XWA5k6C9ReYR7GR7INXVju8rgwl/MAZocPg7UJlLLAxIkSPayru2RPk4MTNz0gKmItqEkD
fPxYDG4Nd2TqJoQSs6GrtzQ50Cb5KXHkd+qkj2vE1hEp3PBmvnrr9Kg2i/maJvNE2l9Mt7yQPx38
JPlSpMI6UWvA8nAbCLsDnQj+oMkYwjtUqqyok0wFJDIXbh0MB2qmU+nsRIxgHbnQR+iBjDOnBzIY
AhovfjWZO/oAoPUwD6EasJXEnqqPX8zY6e4mV6jbcurfgt73P0HafVxDEXDchQOakTJWIN1CjWbi
+6eyzqHABwT1J/AUuqDEzdtj2cUoXbPvZnMHBT5VVeALQYxm+b7jBoXabq7Tu9bmp0h9HDtZLj4U
6jlJAzFxy7k38LHLMHih/HVoyq+qUcVjiSTbTjWQ+EGU1n/UDpTaxhrwq9t8NhDk/JowFECmvfsj
dbKbNhvtV5W0I/RAbXnHnbjbepU9HIKKp4hTpCZYA93hMR2hjCsh0PlND4dGqfsjxnCRIxiMn2iw
CZwMP43MBCRB48hjzwCzhZUCfJZFwzM0KsDlDPvVrdfo88wXSCMioDa7cWDvyQ3oiPfZRu12nS1O
vgVEdADJ4xE034B3GIt8fMtFhOpS336B7HCFokQr3zVDmz5XnXsSpRV9BZ4nW5Yoj74oYZvnwhqR
WnPG+OvPkX0GMQoaWfAQZduOY66MJEGCKJTZM53JkKfzWf8H25/8QtMy8dwssw95NoM74xHMYLsP
Wb05x8bGB4NNfE/ptblXIEu2ZkYFmMnPHB050yxZ1ezIPiTZQk5I7F7Kriy3HPQDL3ZeznxWPPOs
dep49R5VSBDnzYqZzwpradiTFgTatm88a38PcTKg1FCmwMYCPMp22dtrXTu/jLgPHuwqSv9Fu18m
ahHEKjj6KWRHUCqTFpd8Yki4WP2KOpAnLC4xNASdVTINK9RQBcerWzCyaDOGmVgOLtCcPQo1jirv
useot+UaLGXDZm5OIGJzeY2PZIvuUfXWBALX7ESddOgFCMMA6rqjFs02pNb7bK7Vv88WOka46ZRs
EfHy7HRBnFmQHzr1nlVfqNWYWbNL/LxeUpMOCPKCmDNsLm7lo2BTezQgEFu6WkqEbH+YY/bQA36d
409XcSpov5YduCej0S0fjNQ6EjdDAHXSXQqs1XrQNwU0+mIdi+5vKoh2P7j9dDQh/rrGw1EcoyaM
lq03uacmLZxnE3TpM22dksUBLJTlKkTV3CdyC7LKPVlmuPXsogOonn+lO6ZpIFxRIWZx15pme2zD
zluZYRp/Vfm5qBz/c5eCdnVqp/hg5pl80AOpv04LaOjYKBdy4pTv0wzz8MbmbyECPlHU9l+RLe2X
netHt6lnWRBzncAy6hQTRJTTd18GRRYFOUa5spA87cDQC+4P11wNdOZgq9pL5SFcgLO5V5850RfW
DlBx9wAT0geQYqpw26Cgd8taF0lZhSdRi2UE+P3FtPXxnLmrBFLrmi9t/s+I2nHVcARd6f8yi7rk
DspyWoPrlvkm+5yBaxdiiv1nexrMpUqTHlp6Yb9reWfsTGQ6b3pAwpfIy02v1TCciEPbl2DvjIv+
s1llkIME/sLok/xRAnoP6DbOwrqEbCgeyY9Got5t1146k6bZrHtZgxnIxYMSEI38QB854Fl24lX9
Zf7E+k/hJci+yCOP1A6KBcmTn5enojD8xwSETwc8UfRd2I+ftT0z8bawo8g9cAGqlF/tExIZi8Jq
qh0ef8MZC/7hPDHeQx/aLbapXcaLyhyScUE9IoqnRVuxaFv0I3TNDOggeL4Oaunm1SbSbNyhtq2+
6/ShAbE+shewUZM6rraiEc2mCuxuSVVuVO+GPfCdcHmwp/q2q90QybQ1UTu8yIim9aps5Tv1HXJr
zVoqPD1Cw7JvZMqMdazPQj6+n5HtT70oLAV9Dmoltwl+PQcPqYNNM4nyqa7lm4Mo41tcNRsE4vrP
Vh6kK9RPjRfleYjsWUWzkZngS1tOxiLwcuvkESMCBYqpzRCRwzonPJCJDkJHkekMaQpouZYThGhR
vLpJhAJaWQPuqIiLbCAAgP6Nw88I5BQXXz9+pbJf7ak1d4nL8EgujSHdu6aBt0SVQgO9a0IXYjpW
8hbgrvBszr6UfpSsLMbyi5+a3jGaimY9KKmA9QZeHGqeb26T/xiLrn30orjdBkGR78OcQSlNT0Ye
kwPF9bhhXxDaT1aBmORKmN64A4Ug1ajTwZeyWgeC2Wtq9gDv3fN3B9dhW57nKBcf24dJBoD2p3G+
R04DAEMoPNxBGeTdVomzESR7GfH1nzQrAgevWt056VS8kJG5QslibzwguoZvoY/DckXY/xSpqx1y
vTZeYRBzApFifRchGDPbqEkdqG5vd87SECBA6NzOfgIMvDu4dqm5qT2ED2tIQ1ybHASK+F6dc+KE
qJD2uL9MNcM4pFqfeVOHD4K12akb02BJjN78L7sqnOxUOFpzCRH4Nbh8M4gSlgvcttZX8G0o1Pzb
2a1QfATXC/4jMhZ3D6ZXg3BIP2rH6N23i8Bo7Ngquo8skFerAIks7A2nz64JZZ5BjS+Qi3m3UyEG
ODJnO/lPMgnWoTEBY9C26c7t42iDJAfyet6E5yJy5WC3ASgkzbKdlebtJ/KI2tjdJhDnW2CxlS9n
6vnWMIftH9tEPI98GVAyzPN3Ngc1XMQbqJ/RV6rqj03qRcS/39P3X8X933p/G3t17vRUlWeo7RRO
h35E0hVS6NVxQARgI2vLeZAoCYPMsZzeiuCmHPrguzNVPxzmeU8qs7CzDIfghCrweh6j8tJYyxFI
JbrfzNGtt4kRFYg96TWQ0gueXh8yf3KWpvnlipm+4qpLkEns8wriPi6Q1z3PGwgUj+odiX31gyYD
1uZd/uSajYnfaV+DmyZ3NhlDcXGcVuUZIHi5RtlT9VwL6xtBGw3+DY+t9O06xoynaGUE7FVx/GcS
ag0VxtXm2vSbodpAHjnaZCIMT2wE9IoNL1T9XhQdpOmiYLx4rtefbIWNTFwF1pcmnR2c4cEcrAWy
BRUqRHBLFFhhIizslieSocl1k+km9TodsJ3Ui72i/US9fxqb8giZi1yCQNWQFywTsK6EAK1dDd6x
UiaWmtre1xyEAWP7WimvcH6oVHj30KNdgeE2zO+iUAMYVHwCUzdzv0lgiFeg1XBvjBKqf6Mh0qcw
K+o1lKSmMyBf2YGXKd9OZeHcOknJlh3j0Wtny/s8K9wfAPajvtFXb1H113ARKZRvdKkNIn+8K8CP
4CMU4+cn1nYBqgeGZ7r9yW67km9FWc/qQ/5o57fAdh+lhDDSVZAoL6N2y1QEMtwJgkTXDqt0Ifhh
3ILBBkxUJar2EVxZVCzuj9Rsx+K9SdBDvB0+9o6/Nqk3MQEP+5djiwk1OpXMV6C2PbFGyL2vF1io
RoQim1fl0ZnadNAuQTHJfZKK+GRh8Ul8BonqvwesiG55P7j35pReiAzBkb2zRdlosiGvMZ++A6UX
3mJtO3uR2R4deA0ZvPTK9edc4K+YvWRT8o3yGmeNCCUKhIfafIkdcMPhvg7uZNSAjxsP/zMwMshB
BV2EoEvvnCeUikMcsXHu26Jpl4Ulh0+J73zpfJF+t6sWw3UeimUVtkpm+sZ9CK0OITMhyBbing4b
cKP0I9IknRWfA8v4khmBOy8ou9TKT0USfaFlGm0QPKBcF57TpQdarPkufoMAw5drYvMiXi81BNnZ
qPGq0MxfZG8HBWiHtru9t7y6kh0ynRleDH61AGHvtAVoJn8RkBeXlhd9zQPAoAW42C5JFvUXDwBq
lBq00dcE0gDMBPeGLeJg++vI1IqnW5k7LxIrmzMomOQZq155xg4k2bHBePacOD46SbwJ7bx6yLKk
u+WpQEFLD2XQATGXZR2Y5o56jY61pzD0Ps+95sjfGoA/jlgcYdfCXQOSl4iQkS8dQFy3Yb00bqgV
Vz5f/fMf//v//d9vw/8Jvxe3KCMNC/kPqfLbIpZt81//5OY//1HO5v3bf/3T9T3HY8wFhwXzwT7C
uYf+b1/ukQSHt/W/ohZ8Y1Ajsh/cpmgeWnsFAYL8LZFBCGxaWCF067s7x9esCkDS37fpCBiuUuIN
qXOkz+W3zljN+9iwj9IjECvblFZYPWPdDqVmLLvwKcq3HvHKQS7VXURjFW9nlcE0bn9pA0d8iVAI
c11mJClLVsjG5BAIATMRHcI0+Ggj5yrPViZ+4wfIE6N6Vh+YzIezow9D0tabAg89MDL91ZvV6hPI
9PMd60ys2FnOa9Qjed3sQmPJmSaAmoK5+PdfvWv//avn3OX4ZTGGHDR3f/3qQY9XGH0j+EPbx+MO
SeAQVVPWtM5do3qtUyRN9HKin4CDrjy3viUPDswToNomysT+7FXLwDjkkfdhnt7UNBvOoCBWbBwY
a6LXLK7tVeKk/VlAEvNYleDJGJGbep5A+oyvl79pV/BPo8Zbu5oBlEbCbDzRbWbV442KEufgujae
uYA0iP/wu/Sd378c10TUF9+Oi9IQzjj79cvpvbTyUDovH+ZFOi8ZcPmF+4wMRXEHRdnuDlD9J3oc
xo00NvTIo6b2QrmWvBtLaBXbkf8FMWC15iyXYE3DgymSDcQaGGs/2ao+C71GxEvxXiZm8cKMEpJB
ZQ/XsXCPjbiNjKK+RaH9Bgl79lBoNv0K3LagO0iDI9lAGZZu2xL8j9RLA+p42DDNy4+oGVRr69gF
bs/JlwhOJftJSLD2BxKQxyEAZ4bTp/WyCYAijNoHaNezh998Xeu24fbeg3LHb0t7UpizFfMPupPk
56YuBDqpR9ADy1/zZLnx97r388dWHxApLGuWgAAMjTzm3aID9PCQ+6V8tJVVbwxrKtbUS6P7PptH
FyDvvZnjjW5pm2vbbdMP5PJdK/RT2Wo31FHZZvQffhGu/8svgpmmZ+Efg2K2AAxZOPp2+vCkwpPF
HkElEz4wvKIgH2cOl94CvTLhDOPq2fIb+wstwlyjG04hC4aLEflYohk1pCCT9EyqsrNKLInHzvKw
dFr7ZVkuWq32FqMIENo7VQJxmbQ60iDqoOa/tM2ThWYabJvGQ5XN6HjZTvSTdTRdzzrSmTukTrWQ
8YhqKySKzJ3rJftr9998ZoNbq+1/ePb8+tjXXyYIoLhrcs+3QUTn81+/zDSqTSvLzeBeDM2IVGzu
LyzgF27t2PBR9J1b6y7z5WthsjWtdcmjriOg9Hq3B8MtiGeRRiw9YI+7ctcgz6Cfs7V+un44AGR0
7hS03OBAZmh8IOhkRQinhZNc1qkFelfbzO8sP40XFGyhDjM33juQnYkRJQCtu+EquUzKElw2gZ/d
cdS5/PtvxRd/+4k5rjCZsGxQ7pqu89u3ghWVG8o24/cm5HLPjhbMALVJihI2rXJLnKghT5LVUN7F
fMpWH6iXCwgaEF0y2cCfB2CsByp5olYOxIg6uIG3q6ZODHBx582SSgELBnoOSCGHR6YrBpNwK1Qp
Xq5eDUd1mjAh3djr0FAZJCDFiI1wR02lbb0HhFI0On+zkV+pQ02zs/Yj29h4WGq7xmut6b0XIpzc
BzyGoStihwmYuni1p564gsZWUEOGi3o/ePtu00Ag1/VPkbL1T2D8jJ9TuUnsZtpJhkIVbTeLgeMZ
gaAiWFOw4wdhv4difOYtusYfHmwNICkBREbqFjsl3dJ9/QgFpaxFWA4SYVEoQe/cW8Ee4t7lRbUx
aOanNjh6ufiUSdXek6nAq2uVIYexoSZ1WBkgVKb15d//Rmz2t1vHh96Gb0FcwGcuduG6/8NzaPRN
vO5Gp7qPIktHneVL0tTxV9mj6DAYuHmLzE+M8jwUAINfL/paghED+f3gtURaaQPdVLBkCB4//jrS
rzsTG5jx5OdGDIwruFh4n9SISYGulppePK2jUk0PXSTAKhLKTayF9crCKM6giUWpqW5ih9HuPKFZ
bnQzr0E+Wnls2FETQKP3KakJKeR1jFKztefgV06IoDiwm3U88fYD9BpocayM6noGDiFQNe0zF1C3
GXrNchBJQAnMmqHXUJsrbgKHfYBel+HQrFWfq/kSdJ0RwBzUfdupeLVtoe647Yc3aQf86wAQz6uj
bCiFm2Z+QoWCeLTCah9EpfUKVpF2g2dqsP3/lJ3HktvIFqafCBHwZktPFsnychuE1N2C9x5PPx8O
6zZ1dTt6ZrRAIC0gFglknvMb6RbH6J+X5LqG1gXv1LODkHrbbL/fpzWCmQjwMlymLbsiIBRfnpvO
nMGNYt04VX34hua6CT6HaF3tNMepISMArcBZo34R/cnyKV9lc+W/J/2sb3xlTB9zsKGHruj1o8xk
tWQA7zMNaha8eOUIORmfrN4f1zqmcQSn4Sa7y0Hqrbqdto1ldGvNnj/qpEH6jYwyVNW4zeFGe0ys
mkc3IIKSm132DQH4kzhDtnH7YI2z9xUQo72OnSmEP4F9qtPW2mGMCNhrumFwB272zY2aU+Pn75AZ
kkeVx+HzxMYIzwsMrq2ifyPPFWBnFxRvRTY32ASU/V6KdpV2x6YHOC5FTJiNp6ZRd3FnFM9E2LVN
oabOi14V6aNaOXttGp0XqRojv934uj/vjKVON6sG545bd39I86te5kcJ1mIahLphah8lYBRKhmyp
a0cHbHSvQghnseQi3fZVybXnqLYI6hXN0fDr6mevJ9+NeHbhvDb+mm26+VRpRrM300YBDzQj1wCL
c1dGXfHyT/OkyXHMympPwKLfVj2WeHlUvpQLGwUYJC7JCxElVwpMG5s05ydFnRwsjAOkrz3zlHKj
ipz8OH1xi2IzT8X0HicQNNzK1si1sGNndWtC0Ch4kS7ihlZabiAWjaehbmsycEM/JJcmLqp1o6ne
M/qk4d5wywjHmWI6JzrReSCJzqutkyiwi9D9Aadqm2aB+TPovIe+JSMjw4EDeM9mEEZ7AE3z7t+f
hMbvb0tWDaZqqLwYbE3TeKb894OQMFTV6qPSYxivEWIdfNJLQhlAburJCzvtgFQYERGp6/GOCtv+
bW7tCsMbVPJtp9Se4z5nPTBU2R8F30rAZebnew8w/AGJaj86OIvEiuisdIissv/pva2IqnSLga2c
YeGIMe46aJrsto4wQB+vO3NKrl3Y6k/SoJIBefr3j0H7fV26fAyWyrph+WfbssP+5X3gjCM4b1ft
rh+YdsdbmKT85FWcjxHxIgxg6DN6mfcffRoYG3M0qt8fBjKiTAH5y68/LNGzI1MWr//9lk3tt3WO
o7ma6/KXc3l4mP+z84RpqmE0GMXX24J+9p0aJfQg+kZMOF2C8qjtJPvK89X9f6rlHV9rQKn+tzpA
t/FWrRpd9A2rjXvvJm6djRVVORpNWwlzZo4XvesWWi5Fup3CBuFgUh6bPNHCFyWoPs4wQjA3QwfN
Iw80czMtZ/d+ORZ5/5ftuOwf7pEQi3c622CTjYVhe6ZK+b+/zsM0j1E9W8lh8qF6WWsDU5Z+xmrb
YaFJAMl5GeYBQ92FcDJ0yROgt/rTvYevmDP5IX1cDYGPa6MOlSEaR6ycQgSmU945sECL8NVSs+o0
LK1SlENAIniyx+AcmipeVX+PzwcrgSesaT/U4eHfvwP6El347/8uP17XQSXE1B0HTtZ//3ehWmQT
mazgcONwGeX6FpEhtu9d9CAncYmGSr0ckjlo0AGnvp9yOG0IVK8SGxXHoOsR5lMdwtaBbuwntJxD
9gtQd38p39uFE+bW/5dvM38kY4kG/PKfsVSd/4nnGToRHtN1f49iqbj6Fk4UNvu0S8xTh134GqQQ
CLbBCr5EmYcEHsBz16lhSppjtJJ6EEDODi1GEtBRHn7x1CLF7Miyrxo5h/eMvKh0ywsrfwhCwi5S
LCxkqZt4UBF1jFgtj215ImP2A7BV/DMrrywaeSPlgUFGyne/LlLDayKD3Yvpp+0uU6vq3Ka9cyKJ
POzb2pyf4GYHGx7l+udlnr71o5/z/DGPrqD0aJNMLMurFoS8QFCQ7K8A7S9ukBQnnV+3toSHOhSo
gu4yK+81uhtX6SXVUpy6aj7Afv4u9VIljXKY+srfaCz717crSGWzTNloY7/q8jzYS90vF3Oddt9N
cfPwS13W59m5VauNNVT4TcoQuZQF+Wuvp3X2a530Uay6WDzQegIW/3vXWFGzJ3RVb89KqzoGKiqI
KcwxXBw1+Jlumm9g++nWOS51wvWJ5iOT1yn9g5QLtwjWbaBFrG6nbeo3Nq5qczKtEVDmjWK32avT
hc5lNv1H2wwpLVVd6murplUtvEKsjPxNYD4oZvbz3mOw1J+IYDs82s2E9SIjScQ5x9bBZlnm8JaJ
EE5HtKCzLtLDTKvkQGycAPTSKHVGYm4JXYVPtytl3rTLpmne3OaIWPHGc/zo1PuoSVCKW8bpjZtv
NU9ztrcZCr96NvC3vE/qaHO0gehZ7mVWcy79a5QGJ9dSrWINHRBHitKfDql6u04b+OYZ65bP0l3m
GUnrr1qENE9S9EPXXFg74DqXW5BDFaCnkdr6WUYFbqAc6pK/idyV1Bk6dARy3VfpH5kR4hy+Fm7k
s5lG/5tRNNHZRRuOZ0y/00PTfEHo0XwxZqSw8JPwtq1thfl6VJIVji3Zs3QBY2BAYcONNNL1YqvH
Zrv3etSEm/R7OqTpbpzN6GgqevkpnX0WIE76HQRks7HbQn/AdXR8Ufr+h1b5yXdwUSwl8la7uoGX
PLI6tVfSkNvjz75ylOfIL5Lz3LTpRi5AZPzBXeCMRT9dkepDxn7kTyEXSf23ovQM1FfHdJ+Wg7dv
TKX8gvX2elJrf6enDdRSjzSO0j4McUXuoSMYuObpEh+1xFHhWPOREXlUV+UYqdXa5yHma0H+LK2a
HfUbm53/Xoqh4oFnwnj1NlXNd7giRnN1vU59xRAj2vk6gTwpVnmtPkJpPNz6tiP8bKwCip3fGH/I
bE7pKHtMdq01u3DtVVdG8yUzHqTtVpPDhMhAvN1u1VXa/MSeBauV5c6NlP0VIiLQhhpemsRjP+55
iYnGJOv2ch9doZpnw8w/7nmw3UfgxPntnpevww5tg2IrV00tEOyz45BJXy6wHOS+iTcPt/v6t3uW
QWOj/M89B0mNYD95t8c2H3eDklj7rvaOJbk5OGhdCbBD6VlayOmUdjWwVXIiZeRYB09aXKWArZin
2LrderaQOmLLDXBtW3AhyxwDiOqdH7mfEyPESFrqVORFw7Oc3mrLXldXQO38XEk2YcQLwEhe46aC
z1Gj8sYSJH2Fd5m+VhmOlIP3LB0ADRhbFSrVVoqlmugvDJaOMgQHMHczhEO+k7rGJVncRWusUKdj
0afrj2HM24QtuJyuQndb79NXNbDax0mz9/ceWTV1/De74iBzdXPrXfhE8n5dleWD9JOhdTBix6aO
zVHq8lEdzpMZf52ruTu6RpVuiOzGe7MdrZOa5NklGGtW6uPGz8ujmxTYW6l5tkrDcvornHdp7jQ/
p3T+gx20/sktSC7EtZ+DCUf4bm5MNpZ6GzyPPjoyea9n33TNJVfMIACz7HRa/XtsGQjxt3P2Ilce
p8I6xfFoH5EG3JeujbyQPjsPbRz+ZQx6RZpUQdzSdq1LxFtjZ5aBBpsOy+wpqby16oN5UJptZSLM
kYKy+O4G6hUJ7SX9SdTGHfmQY4ACYaQXfypd8EeFs+sXe1STtTlM/muDPuUGGwYV2sf8cW1Y/OXp
t+tGXeA+w4eANheGwydQwhCcNRAF/3U9LLrh8xVNufOmEgVz1M93NRogGz/FQifvNRbcU699h5i3
8nu9+eo1UO1DVOMOKrGMT55pn6psmbX2tLU7Y3RkjL32mEcJuRwZSSzSD6vp1fe08uRgJr2VAVm+
n/XY/Qa1JMUgZ2iOwPTdt9mzn6R9tmNiulo1XMOS8DzsRvzOlytlXoDQl+m88bNrj6MaJrtKr/1v
fr27DTTcfqt3c3HSVCJcmPx9ud0IqNmVkvPBJWwILjr5m3WxTAhw6VREXf5pdsPpoEMF32Vt131N
ymklHRQDfh7efdkD4kvVi+diPiWXaizI2w2rhqcADMTZRgFzIw2K1ew8npqfO9cw9y5SpfswGZXP
hclffrkmEnfVZg7dlBQuiB88kqvbx1VgrL4C7xK82AoONf5iIiwj6hjED4Gkr+1sB/txLusDLiTT
p7nAZ2X5oJMMXQUEMLOLPSseELxYX828kt5JVr1XEw4eEXiCQxEk2IbdEt9kvy20E4hn2aQuFyEY
adAC51UZMedc3qa1Elsv5XJwU9Z2lRErW3l9Rl5Pg/tHaI/N7YVaZtG8L9D9Wcsg6dWD3p1YTl6k
ZI+dh+vGwGu4KPQ9y1ztBINq5YCKeU9NRXlOgvJB8/vg8+gUfDiQPW+xyLrWgDmp2biVVjsL0o1C
6u4owUeQpD/T0lWvUlpm1EFRvOfLjMjTIaxO/NKquO5/yOJpiN8kpJAz2FP33Fk9q9O+GvXD4HSP
+tIA1w0S2S/NylgeeOjbx7mM8bADl+WefUv/z+kU2rjszOOfgfZtMAPEvrs+IwjmGck6dMJ27fKO
3FeGaiZr7Bj3eu8a1wa+yctcq+HFyNTHj865QsJv7LLNrawTL4ShWbU43SyTNTk+pGr8nEZe+kJq
nIB/6P3V2SlteudmW71t+JrJhRqz+KMrW20LEl3dgnc2UOKy489poNjbTPEKjG0oVgOS7H6YlGcp
joZ+AIPGKqrwrdd8LrfFlCefg7Amk7GYerGQTj7jluDua9X/aI3TMdmg2DQdpbVXne9mEdaPMlQJ
trOhwlhIq/KJ4Mu7XCfLzeokN5Ut80MZ/+ebktaM6KPclILCJ4uFpNr706yeBeV5w3suxZwE+Mpn
J3MTC5AuNxmBX5ChgeITYF86OSImcJ/o1knmjJZOVpbNm6oNtmzp18CS4ldwIPO7Ado9aWEHS0kd
CpZoqLFLydWMozGrya2UltPZCIrhSdr81ntEr8t9lJIeqK8V0pK3EqjKz93oaFdpy4PshxZa0U01
XMVhntyIOVxul1DrdMVvwz+LNjgCq/Uq9yYAIcvN+V2BZoGWug/SmvOeX2mZSZ5GWvF/5zeVgrTt
AvXddrx0namX1q6TI6mx4m22nXifKKq2kWKQqu3Frf0vjmpHfIvxKQ0m1MakUW25VGE03ilvlOJt
TPpil8eE6KV18I3s3Ew80W5jW3RS3PRNumY5UuUE6lm4LxcNu6Hf4viQkn1nIg8FhhPo/7Qemmtq
YC2QJpm2Ib/eXK0Kn19AOZzGIRiLCceG3a2yCj2aqkZ7irPePBJ6mLCEW+ZQAYJkRvalHsLjOINR
Rxwxf9W8IbtWUXhVFU0pAIvObNg0AzuhpdWKmvbBn0Cc+VlVvEodRlffrEwHiLVURd6AafyyEZpk
gkmDtaAXDU9fxo8a0Ck/xNxRijJCL3dh0qsvUqOFrPUmK0120hZOyfBEGOTWXXoMI4bXXUkkSYou
YU+E+/uX2Rm/IZXTnqW6VYA18gXtT1IMmsqEaQRdQIpyGGr9zWjT9CJX8mboFRFvLyhL3KgcVGuD
98aGL0r6NJijujXUrt/ypKl2eVs4GxnYF5ryMvx1+982lTdvJsjmwPKYZY4N/TFJ470eTvmrdLdy
ErO6Ousft+8GJnsg67OX4De1hi8KHz9Y4+yEsrdjGE+JsyCzFfd0r5KzZHR2IPnGi5RuVRhukDYc
xz2E2o/h6PwbQMenfo3SwTEsR2ebmvAcJlCwT33sZreD37iL4YJ/8roCmZmsQe5uHPOPfobXDbvO
wdjPC8toMySBdiGf3V5AAmabZEzDP/yjhJnv7arZ/2u7jOfVnLH5S4sdWS5nU5EieuhauPnijn4v
iojOvQh1CPmZpTM0RTqz/H6/t8rYBljmpvbU8eiSwXpsDO2npIRtN0Sira7tvaSEWbVdJowIXlpW
odLLj533aUCvOMgGb3fzUNK1976L2mfP9Krn1Eg/CRKmjAN355Slt+t4dZKSXU02tEpIxsX+rrOV
KnV2Dtm2JEkUlqCA/tNFNLaSMaw2SOGM22kokmnlePkTuofxUQBStzqBSdlj22xu5m54fgMQKUcU
0G3V5UNDSDmcTSC7OcQZdP+Md2nFYgyDY3wd0mQIdmNAnK5UBtQ0Nb1QL2HibTWyY0/GcphQv3gK
svLHpNfJSUpS73b6x1Cpk4NqK+NmYtP2aBloHUeIUz9MTtO/WUnXbNsqbHbDUjQVzTnacRCtpbUw
Y++xqs2TNEpV2fcbz1C1Zynhl4M875QVD3iw/zqbqu2ioLafccpuX5Tk0un58Kwt9udDRgrd81t1
JW1SZwcKNlbRQEBo6S91XnJp604/93F2vQ+0p1FdSfG3gUZukRZnEHywgTDF/HElGRBnuX8odNdN
rznrBEQXNEJYgXNQlFx/yP3B/p8zVvg7zfFBf7VEj4ikEaVYWAjAA4aqt85S6kbFesAY47uU5ADk
f1rHOJ3vjWxAqLt3g5eeeOoyWKbxo1ZZft3Rpm8SVLeXGdvQss7DoIQvdghIKs3xgJw/6fJfipG1
3pih7SKByscnh7iuH1LDUC5SmgZ4tOOgfZJS7Qz9uS7ceZ+SOTtHQYij5HJI/j6zIq/bt0n1VXqk
WvXRQ4pTmq4ts4yxJTRbJGghAc1Y1q481LKvQ5V6j+rSkC0NhQmYFUFYaPrF4D1CNv4YAdv151zq
0HWs9NgvEAVDm81nE/XLWW9esgWm4PBoPzQlYRTpIHXDIgakgIW9DWoKxXx2vF3uXGxrXNuJHgGW
zs2rHAZvxIYND91dj6ESG3oaQncBOk9Liwl/cTQIqUk/aQVc+NbjynYQZa3cs7FEsd0HEdbyNDT2
V9Ig5aVV8YM/wHzCvw/xEsq9QX+9nwXKFG7KpU4JaDUT79fWe7+xsM6Y3fwIh6H6SnCWdAh//it5
V/2lIhsp9TUe9ITNmvKgjlH1NWSblI2l/anvWPAgwcmWe6m/D89xqXmogWY/tTqKNTM+Tp/ZSCCA
vpzVS52cSZ20Sr+hr8PfW11v+Bhb1H699oZQ3yuzAUmuDRFJQon/BABlK1X3ejkr7Da4dK7Z7D0r
md/M1L8omHT8uZwAmRzkBFP4W41T4+R7syL3+Ut0cReelFp7Sn32EJH85eS08WbMetxpIEDC39Re
DtJgzHp48v4zwuV/er1RgRyMW8B4GPNGL8Z2P7iV9safUtkPaZBvpJg2II0twjYrKTZjwjaNlUJQ
R3q3NhR9NwxxDHaIoR4Ix1XFL+9BaQ3tTSau44rA6lIMbSb2cmLtPhFedIIn9wmBsW0Z6uPVW8hB
yYhFqGoFmx7WE6lsvzWNzyiGIWmYZOVa81Lzs2LnRGuVvILnVhmf67L5OllG+hQQ/3z7h0GKNqmb
vNDtS46ttqLECWulTRCAuuQXs4nkZJg3vLHsg23Y1i5T9Hw/gfEmPs7LV4pGY7KzWl6+UmzxU13P
WVg9T1NqnvTUU9bIQE1fVEST1n1nZWdCLv1nMGm5iWeC9ApLU4Fu5o1fPBfRXgSfsrPRK9JLBv9T
L0OBC5Jrdkg0JOk/m8pFZijb7uOyUvztsvRq0qHYVcqgbcgfZtf7ITbQgyvVy70m03iPr8Bkreva
Ks/SgLtIfoX83p1VhH2/5Bm/Zd4z77iE2YdsqqxdQubzS183m3TBLMUOJgZB2brnGCXYx7HH8vwG
ZmKkX8fJe1q1HyM1P7uNlA7p3yMrPTNuIwXthMXk81S0hwiviu9Nvh8RrPpZ40S5qsrefrdQ6dgW
/RBd6kpJHmpl1HeeZRevRFrIbTm9+Uc3dysZlRTT1y6co88twfgNqLLwGpqkVjWL+B0k2OQlbvxw
HWRp9SMaXFQeyJwlPm9UpWy+zJFXodnShI/IRfZHty6+sujPNtVoEovCeAm9p8n9xoITTG0X/VyM
ThJYb1/zTHPWfmFFT1rr6wfXTexDYWgkicDfY9M7jF9Nu8DGhnerpvhfO14InWZ5V7/SirceCsG6
xCPkoHlF8aaSqoLu6c3r0gzLt2Ea1McWt0R+d8Wb9LBG9xDMU/okVXbtNevYdcOj9J+D3tpXmZZu
pJUgfntFHu1ZLiVVbjhusNrpnqXUhoYH3wgfE5k7implZ+OpjDQsN2MHRgEItvwmfcciq69ZZMH4
jhQDM50oeyN0de3TvPhmRGCkTSR9TrXrgq2dIXU0WvFt8ifUPDuTLwVeHl9K9Yd0VzSwSaPLwl6K
6DI4RTt8LYyuOuCs1+ykGh/TTWvGGVyKTD8WelhtZdJesU4FP8Y3O2+h5BnmEQxZ8pIUJr49JuDu
xunxpyp6n1dhxbuaaPJL2YIyCqceklc+JGs7qLsDKl4KCdKl/P84+DbVcrV/nEALcAGN2wL1lUWx
oYXZj57Fe6whRtZppbWS+lwb500ZDMatW52Pv3Rr3fTXbjaLpaPKOvkyRWIJThLxzyhpvVXjaPgl
tLP5WcV5N0cP+pOqeuGjbVfhal4eoqwP+r0HN2MrRbuyyMMTKDhL0Tfe+8BuP4VGbV7HLEhIYzJZ
b1uQiTskDuN+ZZPz/wM2+0bVc4ITAJseYs3zvpkGbnJYJ6oviLX0uzFplQffq7oHyN3uzohK5Tme
EHwL4Xh/s/ruqsv4OUEGaojqP8sci4rRaQcUWvEeLn0vvzrl1B2RsZ4Osd+0j9mkoCqMFcknEkR/
ZXEf/gzUg6Ub3Eel6e9u6o640fDbUxaSWRxX2h5mQHdqwxm31j63thHan2/q8qBg9z7+UOwGLWti
YvhF9ofEUP3DpNTBpm104z2PWvdQVgQhpDgBKTskShLfipicGgfda5JbcQj4lWZYn23UIjbfU3Uk
W27kOe9Xiq0VjxTt4tbZIV19qDBSvLXaddAeHCJCt7Fh4bDOS0OsBpexpU32pJk07B+Xu4Lek2Eb
p/S31syCSNq5KiqUS6vnldEh0JTp1pp6vrIPek29tc5p7O9JsUPGWGauHRIhWIIbt1ZLw+nZ0hEc
l6nCSDX2aouOqhR5t2n7uWuQLVjG5uMw73XLxzRlua7W6+Me+zaoWlNzbNyyPfhT/o730DiuYFk2
Fznw5/04i41Hp5nH8+89pFsI5XVFIi/dS7EpMRnOQwvTpMU+MjN19+LNLTij0n/k5Ws4iKPY0a4K
ED+VSuknh6CIfzgRyFIpSaOtoD/ZZcMuXsbfu8Ypsag0Jhd2r5OzVlff9BxL0/vcDc6sD25onZrI
540n3fwYzm2FVs5GJtYyHj6rCPZ4Bsv64X4xv8B+pFKKp4QN+S/Xh8LRIHKUx1vpe7+YoydHy23K
872+C5TshHb1J7nyfe4o1901gTHtNofz6jsaVNHFbkUOSoTTSujhkj0trLL/VKdpaLUrKetYZfx9
apFKQ78FyQFDyTYqAIvz7VS6tmWqrMIWPz5p+Zfp2jTa635AamG55LTMYwcduyIpm5PiIjHi6Vst
dlmboYPrDZp3rAK+5VK0rcRh3xQWF9Xygk81Hm5Sr42ucaxqlWUs4KsvWgMVzG6AO4NyNt8zogFS
n2TeeJzDEXKgTI4tDzkScIXEQFjQaqQC5FC2sXeul4MU29aqdqoPUVzqhqoiSU2Ov1ypumoSmYqd
S+y0ziVJm03nGfMDL2GT2NjSYPtOvyXwxXslyVlnS0dp0SJsG5fe4TL2Xi9nnq99DJPibWwdWCez
QHP1R5U2+2nSlTOQhtQ1s4scJjNCsGo5yJnURSSMNuCg6/VvDUiNQ0BcxkrnWOn3k1oWp9/qpYcM
JU3u72qWy7cr/tPFZKxWez8IIC6ROUK/6eBPO3WxR5yWA7iuj0MpBooptJKjHajbWor3PoMRqGvV
U4a93jjxytKsCEPpOjg6ZZbuhzBIP0V+8iyUkrnxY74W7a89PMDo/97DV6p2M80t8rAeCqJe1xK8
aoP8rKvO1jTw2r1XOWmMOMK9fB9R60l3MIrqAj0mO0v9rbMzqc6mz3C0s7qufUJrHmaLiWPHSOzE
I91XOwdsqYpVNVnt062yzJs9gL5FyJW6Yjk0dRpt2WOrG5nm1qA5+MckqGnP6mLjtHg7jcqkrtPU
79b3utgNHedWLsS76d6kaciprmSkVP7SLuWmQQvjt+n+seO43IG0yEFmtDX3o+5e5FfHi136uHmF
I8wugYC28ci4jKsymMrLiBsjmZ2iUh8quCmqEVKUls5v9G4TtDXcSv7KO6m0a3sxBZmMeJPUaJ8a
Q/NSRSrPEj1yjq6XEC4Z6uRZd79Im9SAOI0PDpHH9b3OtvDxiHLYdFpi1S8hWIGX4kW6yyE1PJbt
quvcriF1ZqjGiIaEzUEv3OGgZSoYmCxLLwTj0ktD7OMQogJR+YU28N11OUqL9AHL2YLH7tFxXnpL
A9xJbVf0BpJhWaqfCivpmzc/w/DXqrDC89zgNbOi8auWgVmvrawlD11hSpcGACTyZjpNFaR6Fo7B
E0KaGDQqMDATts6rITOnPyHaryGhDMEq7QawRoYHZslEUCCNujfFJ4nXGzXSHQ7S22qaxEdlWXfB
XSq2xjiNb2UDmDyyUdbX3OR4mwmjU4IrPoKPHT+/NMuv/pwhotqWD4alk8d1prQkO/SfspzJoYma
4mA2BmJPQXCx/z4QWoP7PvJYyyJX36tu81Ua7/W/9Z3HKlywbf84x31omLj9CU++rcx9r5eze91c
utE5QjZ7uYPfrnSvk5tJZqSXXVwI/+7q5ma0r+wcoa3Aai4Iw2JU7wTGbnSzZlvHM/j97NlzIHIq
Reu+lbn+VGK/9KiSSH1rOm1ezU6bPvRD5r3NftdsiLs4fAa0ms1g7wyW/1t9KXqLl+6sAMGRmeK+
1vCNCb9Lo4VU0IvPz4U197lOrBIbtoCfOt7rHP1FzpYMFFgGKcspMunDCUTrwvsYvffMx+c7HYer
lKByvma5OjzeSqFJYMsdn24l2zlkc6E+S8lLiJDY6AbkhvMZ/Dm04aGdH+WgA4Td5r6hAlGgLq/M
j4YaRCWWK667bVWrs2H4Ly2IqqwCnlCH+wwVOgGPcRDu8zTCjP7vmSHHe9vcAH3pYcIJ3Skzt2iP
2U8toJsns3Diw2Q6MMv6EmjJcjCIilwyrOd1n90Iq1LqOiPYG/U8sjylJH3jyNRXtR1BV8fe56nD
NClWxrMaTcMmI7L1AxWeSrN/1CjtbdQk08+GUjrXqSetJg0VbHN8O9Wv/WDB4ZzbvyBkufupaYtT
hlkDIoD30xh49om0bjOv40AvTq1m4901Kv4RSwdizhAqbasu38IeGDhv+PpIcK98y1jg7GussDfS
mkEuvNRD9olgdNquu2FeuV3UvJRLUhWVmXllObg49oGHKQAMKWxFulw9NZo/3w5JPvxa/KHMdobQ
rxI8EBWCl7Kc+XMR/lKUht/q0qVf6eZY0MoQbW63PFusQw0caAxDMh5TFm6dUK1hxUbxs2bVMGGq
pvrR9PabN6rGW9KN5iFxTH+Xlr3/WYFGMAKlwTYXydG8n9prrGbGZSTbua7qMX8co1Bt9kEAEy0H
5YUexuAftSbBK7LR/Sd9ObBrqq7DQmSLCfdvwcCySG8GXGNolG68ov8ifB2fZA45hHYECDzYQUsF
lxaaM97mSBmaxvTNKEuUNkmk4wrVxfuoBxHu91Z4jdFxuBZViOZr49tEIijeG8KlmJkt0CcDE6Z7
g2Jb1UUBuOlUOcq5eeN8MQIfreWwdh5siMWfh+6HvVT7eEAduyU4SJagWoFgDg4aXFcUsAYFd1Rb
OUMeNrdDkJH4WRqkTlotjW0uYu30AQ5brdEgXCnZ7Dx6LQhx1zGjH+qUvjRVpbyVQLsOzWzqu7TK
lS+5paylw4TD9qarEvMsI/0cqI5Yr2Az8pJpKvndDyuI1kp52yXGY2xb+iMRyWEXZAoOIn/XyVkd
h9V6CWfsJm/q4RCyM+qn0eWLyVg5WHWqX73iTQpGwQNilQH6O46F86dTT12yZd2dbk0YfJv7qGoZ
Hxhlv2om39lLg9yKD/YBC58AkfnFFduBiq90TfhpwvP9sS+1YEVCn4BzPU97p2qcrXRzfVIEtunx
3l1a/79HWX1UvXeYLymG3j8hTtQ/wUZA6sPAJ5lM0vle30U5ieJ5dtkO0k0aklRVz4RYjzJI6vn/
IvrQDkuIyzEeyXYTYR9c+7NqqV9EVCf29ugOOH8pQYN8v+aWn5xGsTe9B77OCML22OAYdQCZZTxa
ZfMxmk/0C+jhn0bQ/cV0weWm8ycKgM4iTRNauDhFPoaed2lAaWj78TFPE3Wjpxpg4Ma9TBqqaqJI
Fff6PlAj9yIlqV+qpJc3h/7+lvjV8wLAn2mHr+Wk+89K9gJIGMrLcpixZNrE1RjtpAhcdLFRrqZ9
Fc8IW7rdudHa6dGaM4QsybqvoVTNR2mMnHHa4cKcb6UVv9vxIcvx4ZHWOkPRawLHJY1SBdMCqK05
PUrJ8okx+M3ZZ3uT65vFbzpd7DR6AKWbFED6Wop3v+qb0Y2Ux6VPUyntWjytVccd4UZr06vrItup
KxiZsuSdXxVYPWwmxvdpKUmVquufkIlNL9K/4Su7xyaet87SwwVG9NyHJgF8JvMgUyCyAVJMx0ZH
j67YY7EEHHn6lOnzpNqsHs3o8n/YOq/lVpl0DV8RVeRwCorIlmzL9vL6T6gVaXJuwtXvBzwznpra
J5S6QbIsiQ7v9wbqUuqONzQ+Y2uns7D1GTefp1bWkCv1LJiLmbw9RZISMHzEveU9ZaHNYPPsoO3O
55lqa144RxN0/eA6nn0wq/yjTmsFkr6tBILy5Ily7Bkj4OTZixjcNTSK/7gA3WaPQ7OmmwYeF+Z0
3R4pFnSjpsbAUbf5WlNlLIhvr1fTYy8Af2KWBooFOWNKHtWItOMuMndupYPiZiuT/ORMz7O3rog8
rH1j/j4WGHMVGnq7BG96gsob+4yQ+3/yobH9qrDYe6lVIz7HbvHdk/EPkcbeMUo075RFCtgW22Fm
yYRf0fJmJXN+tFc2g9tN57St+V/xz3ETYopNy5+xk3qqUSIeBLYHWQT7vNFeB0P7x9N011dhhO3M
IQLtVBy/NSgQqTPEnzEeAjly94ASlGRO9cR24RmiPnmeiv05dUJfXwQCIAoRe0jPDsLTeup2VDr2
4zgwL6t5epmgLfqi6h8H4PgYxP53ZpVYzDZGv48rrTnUvVL4ownBVM9lgK8kRKfku2YPy4++GY7k
F567xboZdatevA5uK5OT3HtJW/paMv+Nhh9tifsye98/WGHzWXTfcRk8pl75TRaQSfR6QIpbveiw
1fyxJVxeV77FZRZYbcO00vTEjwnzR15+4Pt1MPhkSo/QvMnp/qgsE3aW+Y4aoAmhHLM7IezFN1MJ
ZKAoY6AvZQ7ByvpHT/QFwjdrSi+pRMAF3xGT7uuSCXYuCJtq6uya2DCrl5i6nZWRUTBVwxG26A9l
LMvXIfrbYKF7RIT2poCOsk5YrvUEgFQkq+HUlDN5LM5O1fQrfEz+k6XBlQl4AYrk+CdP4/aqzQZh
aPnrIKX2ZjihhEEZKJF41dCF7CqcDXYTYwCIp3kmXvxqLlNYCZUkrqy4jj2ZTxoSmf2S8WVQ6JXH
BD5pmMRnr+n3jk54YlS1ROSY4/OgJS2Lz745Jjamg1IOT1A/dmY7j7CQzVCrXMVXk6SAaTfcnaWi
YDlXy26IyjYU6XhuB7i5WC1RmoW+rgzqaRzRmFVmCfEVXhe29VT7E4cIlZoyUT+QFidJZUgi++o6
0JxJzRFDYx/7IcE7M1EDGwakwHrhtCzoGEwigHwtKrWQbbkbjIPC0j1qz2DYvtn0MywONUw9gT68
aRJ938xNFw4Zxum37WGD7i33/+vcoqt0lJUtj506nKsaoAt2JM/aXkXbTn++QExGUBrpfjEt4xGx
R4na2Wx9ot4nfDSWLhReoh+sQb2pet2EEMkX7rDEJS6F/fGumyGZDPr8h7nKRiazeM+dWN3kWRn4
zH5xaOuYK5RxENUOGVS5+/uFPKfvqcsGbnaaxC/1n7rt3EU0+Do1vXOMVnXvpPJX3fH1CG95qk0b
A98a72Yq8FW5mmRL79bmWYJ/MMGrtngtk6XZ5wNE5Hb4Uzh4lkDUdbBNrev9oiTuTbbRuVhc5R5h
8BvNyUUzhrfS6qsDziXf+zJX9k7U8eVh7Ij7j3xUbSEp4VOo1rrq3iXyn7g1e5wME/uY2RRU6nE4
RLItA95vdimK6eglfCBFjWeLXljysan4sLRcvBYjdX29YesSiWOWFocFQPlki+6hKCqsfbLqbazV
QKzZMORUEhNFZhoVzezQV9FDW+MqkXEzqpp8qiPtI9EdoJquvajsN4JhkXKPctEKFV0RYPaZec4F
Jhdt3/wVWlX5ZFIbavsXl57Un8yUaPIuJzA1fu5LQzvh0NvGg7XDAblyuruai/fGVBPfMya2vm5x
TRw7PrTGiL9wDDe19YqzrrFIyNzso2+9xR8ydw6c7qHuc9+1Z9sXXknge1G7h4pyz3WAstjGXX8t
rQE0FzsSzNTQYfVCxZOyG97A9FNfSOvDqGIUWUBON6F6pzHH88TtwkqZ/3gO/leW990aC+I/jfFc
UnnyE0G5mMl5CmYLOl+le24ADD2d2HnlVNdws8mL5pKOPWOwO5kHwjN0f1iTPo1ce0fQPcFdbR/M
2fV2aS3JzsgQp4oxvWwHKaz0QnX0khetjXTYLqDxyrubIbAAWfILW/GHvv2bGta7Nc6/Wr2nBpaY
D5CxLzUqRGcGRzRtt9nhg/CtI2x075T5K7bi1nViuvf7Nm9PddwVT8UMD09JhmcxLL45FPm+YFG3
0xFmYYqVkvCljXBpCzsYNJKVG10YGAK52akt3PiBWJoItx8juSxeYZ0jVmqhSDItTEcDhWZSLpcq
zcZTiQnyA9Rw46gJMT/KpIhZzCJrhR7THORIMCK1Jm1fp5nzVPRxso/bx2ZA1mMKm2IqAZB4Z7Ak
LhtyDhPMf4OVBRn0mUrd3IQSbwlhvdqGR1zgIpq3rjtJxSZvoEzdt56ifdA61oDbfoLH8AANyJiJ
ZMIiX/22NOyctEZWH0pDTdTL+ulcW6a1Q/La+T3D5cdkofRJ0LV8ICvuISfDfYCnSurfIIwPJjCS
FZFqfUz2MJDhK1SyNS3yM8BFPmIMUXyG9fEDPJ0NW9bID82LpF/AkvrwLKyQrMVtP+KKIQIfw+YD
CdmEqTYWb7FihAQO6lf8Jz0ACSfabc1ULPq1VFARTcnH0md1gC7JhNMd94fGnJhkTTNMbPbEUWzK
a4+J67Xjf71MbnuAcMZemQloV3sFUsvcsR5Za4MoeU/K0iqvfcZHNpqBtHmXWAxlWHlPIx7JmMIM
sbGioLj5QI2C9huToGdPphbYUMYPqqp0BKd0P1yZU2LGGwSNf3WnpjMfJH4iO5hCdkAaluFLzchv
jTU6/iwyY58BAfuGJY96lXlkkqfjYamvMmvm09Cl0XXhf1FS+wHO4lueROIJIHXw8aRiymoV9YYV
Oo5+5fJkmzMTdtXOAUAC7DqcuylMsZNVZToEiBn6g7GGoA5lGqCIz272OFRnbyFpFWtHMljq5Z9q
qMgZqZZjQyrffq69d8jBu6EdU4Qv3P/RAuN3blzBv2LDDSFwuF9gazv2PsqS2I9ygNauxQdH8PCQ
pkiGRITHlzbmT7aSXfV16I5zgCu7GNrdgHeogg8bE7dA+AAggBdrZAWDVzi+WlQUIpke+jSyX8ba
A1S3ikM3GLU/VoAalRe7u4wAOL+jsrzvktrezW4rQ4w67MdUaCk/ugXeQgdcppkMqCVL6JtTpQ+l
0UDSNR5mrOn20prTC9qO5sjC3+Kd3fBNa04ajhlC6aJLz62KOVT9y3SWgSA2YZ0kVjRJkgIhz462
7/uoOlaxyAMzfetsrXmK50n3QdT+YfSmwjyKOSwtX86y9pMuVm523Q3XyZ4Uv6Rc/9iJUQR4NvOP
q16YEL1RVsA8Wd8+gXZDbhgg/lQtDpSlRYC2o2k40+N56WNK66padkXeeOAnMV37jmojMYpeGEcu
iamF+4iR+1HGSu5LV72ZADp7w55nX+uVsPeqNyFs56HslT/txBc1WZrxaNZNue/m7HdnwN9pMRUn
OeepGtr0IZfj5Cvp7PgTKQM98z6uEEwrql2EBHlH+zkiPUhIlNJDFBG6hnWHcJQ/5mSOFzOCvjXV
SZAMkxV0gt/JUOtFqAiJBNQAGJ2n6uzOkmQQt2oe8By7qi1bKgOqiEEkok7kBmRZVmSisC/t5JHo
MrF40lrZHRHZ7pNJQbLWiOVUWHkHtbJ+7bvqWVEhvGGw3R2drvuuiVwPjFYzucNybj7PvC3DhEpu
ic9uTGrRiokOMsn22EGzgo+1eaey+6i9RIRolFSqV8s/XWfAlWNZsOOmQENBznqwTBPpQ4P3PY9K
0+8dCdaBTdOU4w3d2TdKpdN1gmSIZ1F3yN343cGsZj95OmmmIt8vU2yzGZZ8QFKKgx1H6l44+TuB
QNOuATLbY7mq7vMENmGlxBit6PVDOeGH1UVMUYVtGr6DJdxBSaUT9EXaByJKjmBweZhhvWurun1h
jf9A2GWPjXn6ZGiacqy5kfxofsohcIxFKp479rOxRaHZcKmbCHQlfdOxY1VbnZU+O7vaiKdjUdva
LoVg4wsXO9n0FovJYnnTyaCAIbmznOw58cTFttx232ORS926UA8SOd5pcVQPxS8mJ4zhSGlkVhwG
jN+Xwa6w80rJYsBP/RDN6r5z3NZHrpwfIs9iJIlEvMfl6buG786+GbrxrhXAQgXqm0bXifryPDJL
DYy/miiddoQ/3vmqXDAW9wfwZ34QCkkXs7FzcjgyMaAcbH2nJdGkxdBOjwpoPpN4T8Bn0LkGCtxA
SO19G0iWFIfGwsG8wQkCdnjVvzQ5Ei6DQqBHzb+dYNDnkzn7KitpcyAajPHnJzYL40Wk+bMSNUsg
VS16FJ3x3Tapwy+yDtMhE+dyZrg2FehcFdWM2rk47DKRnl7I3t1ppNAFTaPhiFRFSOcieEpZF/Z6
CclryvF0jBs/wmD1qCrsWWRjtZ8Ha4EFYVYF0Ui29Rx52XJAo0kYRoYgdVgUdupTkUIE8JozkZdD
OI1Chtujr0Nsm0NYpFCn0NQwUzvA7fDbj3OZu0e+3Do0crUObfCuQ79U1xmz3xBLpCVMCzZtHrqk
YHs1t6cYMOTTsaHAiA3NBfTC9YH6r0Lz2jBryvfWLQBQSnNsT0tSsEX2UDW7+Ywt8TCHozHgZe50
ZOHaWlH4loU7i16aZ6msgXj1cZqXMmQWKdkETdHeGqp3O4EV0Mu44vWBWjpydguzCpSkSthLuVG4
HVi+sg5NsqsF7H6IFLUNl6HFL2u0ji3DYdiqGdzFhGWp37TVa5r1v7q+HD4/q+3R9jEli4X3+Rwt
Ls4vgzhGaxrlts/YHrlrc43m4/vetXU58aY52FM0hnb8hqipZqDba1j9s7ugKus56btRxqUWdGqT
nft+oeC+7LQxe9YULyXNnn+M4puFDSVOEKzguy6KAgap9Q00N1l110xhuMBCN0iyOSr8RI2i45I3
p7FrMFYoSUVMk/PYo0tUWKxBg52McHsHmHlQF3aWN8p2NXkVhrsE28NOS2q2v5HhJz0kSqxCkH+/
VqXH1mo0wWsIpAohOuihQGMe1A46tuanu+Q/wV1cPtkIDzmpWy67Y9pkYBGDmojz9l3V+lSF7XrY
mtvBxMyDn/n6Vf5/pyOC6P/r6tHxusM8CsDF8qjVY0DY8nc2J0PQmbjC7W3FxGCkzE6yKTyKOlwQ
1+R/V26KWfrst14LP1M4DZQ7DhLG32H+LciUoAI4aUr/EOVDcs6VAjv320BM4GFI5HMZ1Q8Z40CI
SzYJaXXxAzu5GKC8Q6Y1kDG76LcOb3jgcMXdO1mr+BCjKSfE6fISNUXJ2L0UB22Mnx2qYlFxJ3f9
rVVd4yhXmEC1rCKcYmwi21a/zBrRNkeECM59aLmHPenClyyqV2+TQRI/UMYIKeV4Vio749Zx56uY
MWSzHKVj1QTO6GHe0Mg8jFSBL3evsKxCjHXhoznjBaNY/kLV2VcmSFquofuZF5t3HI/Kus5Cr1p+
82WTTwNp9WyOJdmaetrvEkpk+th711EsxhFQuUY1FqRsIXZW21U3tUDUKNlGBSKvU3/I4+pmpVSc
MbLCtL88IrRfdlRhPK7C8NmYcLYl40Z3l+wD1n97icrUDIhELnedsjQPGcYZhlYp7zXD7MGZWvec
k0v0THYmNWlr6X9NmTg6S0/2fG/eHUdUR26B8hSBo79XZYRjQqr8GCKzDrCnlTBGRX5VVPY9nSf3
dZ6IH3GdvIEkBSRwm99lLJ4xRHX+FAI8jXlBLxX7lkcsX8o4bfxWJbbN7OyfIPMuWABjlKP2wwmw
5IXSIBqXoUFoBVqyq+IuO+s4zu+cwlxOuJgux4XSwQ6WprFblL7bs3zcVfWYHtVmxTs8EKkSpLUX
g32F6E9coZAvJXoSI62S75FS2yjBKSbo96xWq1W8kuxVw15eulH93nfaRzn2De7kCCap9lOHIasl
dVMPH6Cx3OG5nD2LNCsQt2Yzg9S+n4v80hT1eLFW9G6G6jsabXPyZKu8EX29F54BpIpibxcN+X6K
0/gNpuBPQdDUo9nqyquhWgrxGeq4d4cCZqNVJYe8ndzvLfh167lw67tovgB8xrvcxE5JUkE+4ci/
c3Fy/9F5oxE4maPd2AEY57ZOumOH9uyemD2qdyrhf1rsgy0v/d0SSMx6WjOevSqv1+wR8+QZUjwb
TQS0oYjyV17/wVYgoUaa1P7S2t4dtnF0iBMHwXCzkLG1ZMsNiOH3rPfnZRb9fex693nA2CIp4TMT
NN0ecQJnONrq3zlvNtxq3hm1tNz/an+e3q7cOrf2dtgu/3r2V9//+xLbaXuJtnEeszLlHIN8ov5Y
Q40/H1Yjccdbe3u0zTcyUbloa//Xw6/zX5dvfdvhf/q219n6Zq0vd4ZaTz57uxzvt7KsmVTXh6rD
EgY49d+9hjRZEKzncwXK7p48tn+1P5/6eRQzZUDFUg5xJppwO9TrNDuaFeZjW9vs5n+3ca9mFSnT
h2rW4xdLU7kd3MIIIBHFL1tfXdiM7qk5Hre+7aCiTVeTMXr47Crs7ClmGPt6Uk9y49nEzf+zbztR
dktLfWf1Ol5f/LMvVTpf06R6/upjxxlgZm/cKjPX9olbx0erxmq8Uhrrqtameo0KL2Hqm/ofrau9
FxCR77qqTOESiWJvE0D0XM0L26d49rF4q74nMC6OKQGQJwojqJZRJxKyt9N0T+5km4OlROWjXcnu
wUzzo8sceyHJkyXSkuVnlGPHjC3/pcSy9Yi5y1vZ5s4V+aG6V9h2MazE9uPYTykrfPUxm/oQM5Ti
QnqvIFIHIjcsqmVveJpN6EmBf1y1/BAOtpN80N4dQP+x7Fv1O35r5U6MdrlXF+2JcvPAFnPAprHK
pqDD3fBothWVHhVDJk1HKMfSe5dJqb41zghhtM9WNQVIUk4+FBFUsfGR1r+NbujYKUNoHGLrfRnN
elegnXvJE0wK6qn6CZY/X7auNtaHq5cX5621HRAKx4cO6fduu37r6wf9zbNk+7C1ZFItVJimx76f
PXhqvdhVRTa+lCIqkcEm416Jx/Fl60sqFruQo65byyOV85I0xR9saP51wTJhVQ0qCQdlfY3tUOh/
k9ESz9vLePWSnFWiC/2vC+RA3IOptPl562u4bx96Jbp6HTX8udrhlxg/aUuhEuKZzQfHjVd4gmF7
64ut5LkoqaBuXVYlYd3m1a9tXN+6knGZA7XW9OPWTOeueplBxT9foSQCW4eotHFeN5IrdNCntE6d
U9oxvmLZ8m/S7ecl3cL6XIu+ffX/73VA/CV0SEM/bK/3daHUkvtENY6dTTEGODhVj1gGmmdjWv1z
mmTyt77tICu1euzXQ5wq0Dn1eVk9n5Dm/OfE18VatjinWlefvrq2R3MeVY9ffW5a/FG9ltVPm3i+
23bpY6VTMhaE9X4++uqzlR4SQeuF2xUKFabPy8q4yU+KDhmm13EdT2uTMBS16N9igKB9xJrhsDU1
URWkIQzorh2rexNRtJJ8VqxwvTgZRXFKhYBUvTZHMdQkBsMzwaqJvZew3wwvh99WmSDMa9OkqH7S
O5j7/TjYb1PZjiehsGLbzuZTl536tp53sYlWXva2E0YtixI7A51TFU1gkpbbr44s2YJ54n1rWYWW
3dc6wdZK3Mh+NUwLl6S+eN66qiFmNVHUy8PWhDFlBmQ4fm/wedjpU+O9WolUsARLlL3lee6rxtLo
pJYs6rZmhdUL/msscraLDYaLJxQMl+1kBKPj9ZvOz1oG42xwX9X1k7q+aNaz3O09r3zYLiSWmDXd
PJCMRHChv/WNzDx70eFC5bG/95JaIqJhypu2iW2bm1zdiYA71zJOL5GLBIatLycn7w7CkTnczzg5
lriFvMbjc123xcFTCIbOx9X3crTvgAQWxV9t2Fewst6UTIJO5eq3Ic6Y3eeyeLO0aWadzyhHaEzO
WtxwLkuC3Bkf0fxNKhPFFi96xw6aCI4J82dvMI9bq6nH9tUxzoyOyd4my9KBFRQ6uu4h38qwoi4j
8dZNIFl5Q0kKGY1+0srYCQQ1gRXlcwIJ02Wf5OZwAMZasTGX5XxxnwejDEy9iE+evsN81H2y1zyY
7aDnJ8NUbkbZfht0hSget5lvvGlsOKoJvDpn76IYyCJTisdBbNdIDXU8BHHNqn70pXyKokZ9Jclw
Y9z4relF9wJcK2tYq6tKw+cza7CL1sP2SKxrDLsyH+Myzj+7tClKQsWQL2mX/6pt1zh1xFhchYU/
3MwS91I0xQdr7+6Xa4qrnArtDzEbh8zrLDZLt25efBbkJTXsvocuYWW+h7nyt3jlX4uy9WOyMd7M
tDsnEHl/aQXGcMpTTozJi25XF5x5y0OlgdOWSlru3TGtKXon31j0NUfpImQQvSfwp8/6J1NWLUCA
nfxqxQ81Xuyj12krO790d7MKRlimoiI42wW0VWHG2ov+vKRj+ToO6aouzEW4NfMGv1FIEw8o7+2n
aJipQw1jg1bDmJ6S1lz1ZWl3gBWcnroGjxBLKU/EPRHikNvtCdCv3ZurrJydufHC0p8/v1CDpECx
gwS1TxUK/RS1cj/V+wTwxvZN/ZnUwZd4YQQyGGoPcaRXpH2XsL4UrX7TnR7P2qJ8ttitvcnF1Z77
Tj9s57A+9S4DGdr+ZP8eGJzfTOF496LGnp+IjDdpGTMp2oQwr+cmjODAmkk1XVsqfosvjQS5X1uS
YvFLSRLv1sIPuH7pvOwgotp666uGsN2yOG7nBs9Sn52oPX22arN57sflbKqZiq2FfsqafLkW66FX
x8uS9jpwDa166ORBuoqNl5FuXyddc9jzzoUPooNnwNZprGdSizlmnotLobf2VR01zkZzv+zNJJEY
1q7t7dR2oIBJzJO8bo3PlyqazqKoWgGjFqM4jbIAluwEgWmu1QoEQziHbc1q/QMUAWyevdKeqVpA
J6I59TpXL666nAcxv342tzNaW8swsbJrkcsPs0qrcwHidZWy+dcBB0xnT65cE/zPiVH1pkedt/J1
bW84muF3k9b4EMixFllfJekBgyY9xTDAjOKbkbnTQUjElFquxjfuJEQCtlzmhzXDaOvbrnOJBrpt
Tbcxn1DcgTKsz//qX5oO+6LWVvBljFuWcpG2E3MkUJxyKNO+hGCMxHLMa4rIa19iMnpiBBRD57D7
18Iq3+qoEdet5XlztFIrSSRfT459qhyV0U7ZSJfDq2qX+qNN7geMkR7SC1c00FLZHN+3hmipMeFX
vzxsTa2HyoEYLz9uzXou03M0ejCH12di41ncljH5/MNbl23NQdLm8cvWsooRiHXEE2VrJmS/721z
BaLXpwvbqkO0GLa/NXPdsZ5aJLhba3t/fayfcrton7b3Xqw8r8lKFfI01/e9EotmXav3W7MmXJ6f
Zknazfbe7AIbpBQjqLW1vVoSyae8BuKlsExpzdJKNVCarg1tigUAyXPDWG1W3Um1qQzFhH++OVM1
+2kcOz8gEF9aHpFJx/3UWctfcIv3GST0ez0gF6EoL+7kfDPVszT0yeisrzA48lNd2VHYG4u4RJGS
nKhDlqcKE8+bXqTvOfZsv/vZeTFn8todt/5dFpVN5HI2hVpNqLGbwr4B+0l+nynEdyD4bAy02E2v
+VSmMHHi+EKJ9JhOy6u9lIaPHSf0jTq3H/tlqBa/aDR+3typMi9u20Gx7fwGGopFdvTDweExkBkK
dHdsqKfFjYRwBfUcDZ2Kx+aAisXrpwtk+eXcds1PYjOVs6UV86s1NPzspieNPPh3ctd+lYsbUKDH
ubuODsIWf5qhyG5JmuBbmzvKAZm++l5bqcaitT9orm6/CftISSz/ZizLeDCUJN27Sn6JFe8Xy3U1
NNvkj5lUP4dJmJR3GuekwRilyuYSnIXR2NSmOQ5MiB88YWT/jBSJ8tlyoSI1FCsdbuysmbydLigv
NRABXqrqCCKfUvIj9LwvU8JfcCemSqB9a5bYO1kelU+I7/m+Edhjmg5kpREufNfJ6MH6x0X1fR1L
7cVQuxAheuNThYoPagUiZmF3CfAygfeqrM1bx7hN0z86iSfGc9Xb7mkuBuwPJwjKbQDOqJw0hboa
mqbmgHZexx4kMsJfUD3Uaw4CtsNfyd6VdrnmyC5npkcsNu34e1O47X3RmbTp0m8OhXvI3Y4AMeWg
mJN4mLz011wSujiNeOcStfh3QQZT97pHGmDcBZYU/TPFW+1oNZYIY6sElU9qdxeXqvEO8/PnaKX1
XxMXTGpBf5JhaBB/C8D6qsYcYuwHX8Wk7kxy3/iiVlry1MBS2VrbobF67YBwHnBsvWI7RLUO02Xy
LhFilRdsVDRof+kJbsQ+JYvhJjVTvc+UVveeTq17a1oYKV6LFC/49aSEXXgfDcTYky0fti4D9cHR
Sexm17mZdvek0cPyhEC0trYuzbAwfOvzLNyesM4+Z4OZmbVLcqq0aHX7rIf7HEFpNZP6eWuRSRXv
czciQmc9ObGzoV7dh1vL07Xhnig5DAEHS/qtTycj5Cy90kZFwxO2A4uSA7cG8aLrE2JXmfdZk6mw
EbiCVXX6NOhUH9aTynqYRoA/BdHAebsCqHsMowoXqK+XjN08xHw1+3zPRTJWQeLN9zkF7pgtTb93
EdFoZSvCvBDMdFWf/rV7G19p1k4vjrBf8vF3TSbuK5hmMBvWRDRJabzWU/1LZBhNbOeAaNUAc0rv
BGPUfLU18gwV6Y377drS0OOwIaYm2M6OKpUe4tetY2Q+Md/XkGHauQg9wQoCKVrysh0wR6n2TRZV
++w/ffqcFH7ceJh323ryMscTLK/Iw/vbPOYiMe5uNRj3bFEY9OG0nLdmqnjDWVugh2yXaKNt3JnA
ZqdIPq8vO8rIEy6tJ3t9ehO3B+juEYboaNsaZXBetkOWdox23TidnTh1Xnq80a9TqiAz1yGgVWaM
OppEmuN2MYigeMZLjj1N1JcBrN9uzwc07SE2/+v12uFvVSjRHmU/xChiU17Q0ulE3HXDZ3Pr6812
12rMZ1uLENPquDQQ7D6besSzluIYQdy4bV2TsVDOG1KVWI8mvm998xKFWsmNsbXaXpGn3morruCP
bgdpz7cacsjjZxcqSBKtRs83nDJ5clxu8x7vLHvWTZ/aLpViY4xftoOniqNaGct1a02R212T1j1W
ep5kwdKtKHDbOP52tkqY5XNLBzrrsvTw1Wd42R9PVZn0ZN09awmqsj8O2aJTp75sB35HOHhIqtVf
fZE5vrWJOj3g6KO+yDhKH1rN/vi6IGOfgvNG1x2/+lziyvrp80U7OWJYgY1QYE32/KAn6VM/ecWV
ObC4UkIPJSKIcGsRlGmr/vbQy8WL1pv9+b/6tqdZXfWz7aN4p9VNAcmndJ63g9uCEjoIAlCo01er
CiRdajHtuMvQqN7bNKrvUVYDr3lpctz6iqQEq0yhmIuyqoO5iVSf33503i42DTJaK1yKDRP6T60S
h5UzzO7jIWnv7VK/9ACFj/i9tvcqw+TWFEoUqMhByXoYL85gSj4ATgroUzsKqTClNLu9q3Ob3rrU
PW8nty5yxjTA+847a/NYX2dzutitkHyfo/HWmWMdelM7wAqa4+Kxjet9We8Vdax3Xee0O82KF4hH
UXcwFcN5lBkSjVRG2Ro/tifH7VtnRBV6ePkQ1fLRkjGO7YKaFLqEn9GQHiyB4UFmsdOpWAF4tdac
psT+vbglDLb2rMoY5YQi4HSrUt/1rEGCjtVH6ZEvpBf+Aks4mBIFIWnEbL5V++DHoK434aCryhjC
mHjTWic5xkwIANwqlHRIylLqF3XBa67XFIPiAuokVznmk/7OvovBBvbCrjbUazHkZ8KolYdmqJHH
ytE9FxIBnGG8pd2Ysv1z2SfD9iykcO9LYWnhTEUbvKMHTDQqvyjnHs2Ur04k6eJOTPl2Jg3Aq2Xm
9wtzJJvhR1U+a6LznlYTvhkRgz03JrrH2Hgwu1Q9KASj+FXyvizLKxWhXdJr9aGye/fyf4yd1bKk
yKKGn4gIXG7LvZa33BCtuDtPvz+SnmHtdWZO7JuMNKAKkiTllzbBDYaFAKJLMHQowJtacUa07BMI
ix4Xurrd5ZaPj6uqurc2/clp/BNyK9oK3edubekaO7eZpFwSxqqJ0cuPWsyZuyIZzwaCs54PSCSR
sFyMVDh5Q3SolK48lY1bbrGP7DaVZXmX2C7HjVyrn7we/wAQU83WG6FoyGP+aAD/eCxU/VUKg+KQ
oNZ4QSYRXAnflG1cWfUlzzJWSdQO/tborr1iaC8ACQ5NiSBjXUbrtMz3TtI7x1Qbik3MuIGple6v
NNy01mXbHIxiQgR6jbLVOzPaARD+jlTTt8lM9KCzS77mbrVr4HDNGnU2VvBoN2YlAdeL6vqsEKKT
AFwLLQlm7I3G114zYdvI34tIHeDV6eW5A2hwlKYFD616FCNqZRpWM0ShGTXsg8Q+wixphGRE0NXy
q5p8a03pFsfwfBFHWcfhI+jl36OtFSf232S+hFGJ5pp8GrJCedJheOg0e7Z7zbKLwN9YxVpL/eDS
pIV38npGGInC+zv4+PLETY7cXje13jxhycpq0aSwgleMehlgRqyhmkVZ7n1z+G7rsn3p7ahesxRY
+yyFzmAHvNXYWzKto9f6OEJ4kGmUFNOyrJxWSj5BBEjXXRj8rJIcl+xAP/AtbyMQK8hblTtu6O8y
xiKmZxme3QdMOerCeGBhRF2FoMs2blg9O3YFx8yucH+Ttezol/SDoaSvx66t1nnDmkCZPqBpKl/a
IFAu9RRYOoaVFiTMOF35qudu9Qaknq+ozFAkq6HvNaqtF0X2GlDWLsi8nxI7DygxBCgKsZTxozW6
/K1G1pyP9qFJsbGzbDhNqsceiNxDT3UYHl+9CiDP+MiMpF6z71nk+g1b82SFG8BrHMo+l7eMCUK9
GSAX33uHBfZSbQZ2hb0nhFX4fNYFCCVXbsDh6+GlB3m5wjaLUQWTwiaS4fDoNYvXY+ztTGdSny3a
n57tJgiUacAbbTUGxKCnAA/dvT9i1ahCmF81ClSm+lcHaTAA9rutHOB8pWmx6myt9LSW1whNZ1s5
a0AoNxIGLIosIR+JXoznuWws5PbzUAxPvW9WF5Yak/XYDIiiJfUd9vITK83VykBP/ugMKihQ1TWO
lmmfJLd1TlLk2idjwukUYfOtsp1LHtDN6pVENxYXxWFEYQkL1a8dQNR90TRf8T7Q4ASb3lbKo+Ha
4VV0sVg8ziYCsRerz7Fln8E/DIyye5c72H3tmbWzuuEBXwrDrao17qrKIFEkYcFCRe3p7LrlxqGw
i2xlRGa9B7qeAYpzDEA3fAx2kJlPVsqmlJqhuYV07HNuNDarPJmyicJwnw+1vm/LwvkcOy9wmRq5
dn+MZrmB88631JkgMtKPQGvXqZF4J7X38Ecs5GrDTN05tADP9gY4UHAnbElJLpO3BsK9ZWQsesj6
hjHj1emN7iHu0CiySCEmE21r3XtJE8k8L0HRZdacNBn5H80Sihg2XzfDZezodAY4RjsB6Fk4zs71
XGftO6ivKXR9a6bMK1X2eBVdXTuPZci2KaOPn3GqblMvGk7yiHwTQlGPSuj9MiaHKKg6F3SLRWNk
dsaHeAom8Rw97ZWLrJf1Y9fWw60Op56blJN79WMZMNQtynife5bsr2OLxwgm7CjVzD+aNmbkYQRv
Uayic6hnD4bWm7s+DZh/T4FrX0engYdWK+G2ah5jq4pOPtODU+xawUbLIADAxg7Ohqk/qp4Ge8Pp
aVHYPXYgrljfC7edVD6OGFSysMfkrJkEzpTkIDBg5rQjDVUYWKJuTF5XIDD/DqSG/aIWbdPMwS5D
85HUcnOQGn3i1Cyz4NdgIXs+bQRIo7pVXWxdMdyCI4EZqAPH2mtBYw1eNzDjdDmWpZELgtJHGmp2
rvThQfbHHmqHa256VGnWw5REpmBYtzoPS49tgGaWH8MraZCeHBXQRY6enUFkHLoBRgpwpVujN49S
jf9TqofRRsVEc1wLzJw/EfgN8GdbqxtSOAWjfetjRWEo2CR3h625U1gVbyNwo1e8NkAbZt/8Lohf
5RSXGKf+aWcujVusEljTUkE5qsx0YhqU5djKVQQDnzAAVo60cUVtNMCxV8tFKAH2dEEKDGWqn8Rp
cK18CUovPSZhTpfdN9YGw27gIWwpAILLxnWGYlpgZSbvhbnW6fKunQKltwQogP9at4sqrofkiHsN
WWA9RKP/5iMFh/jobsBabmNZPQT3CW8EQHsTKTxd9H9jaR235W/mNfW57pJ92Zd8JkEFRhaW1nIE
SaiGx1mWR8v/kqW59gkJeRQ5+yc18oxD3ElPI4sAE71V3hf6ZDwQfpUb7RA6vc9u/cYJR+foB8Yt
ZCttHavIKtVyivCfBmLcPNu6OlyUOHzpZWapfuEho+hDGZ5MmgoXXZuo4npAgd5mBQgvKZudyYY3
WK7cnIUj4uF301nKM7BdG2lsaWAioNNPKxOuPo3bapPFpvMAC8C6y8PLCILvQQOMYKZetSvC6FPO
wAD5ygBoZc5mqkiOsZow5ssTAJqStI8a22f8pMXAX4xN6jXausiz9gA7Intp9LI69LBF1iKpRlYF
3rg08AuVqivDZf5P3ZgbNfd+DqY07LMwHs8Ifzy0I2Bv3Taju4eUy92rlJKdYaQwrdaKt0ZpFvsc
Grjmwc6QIiTmEn7exNSwO6SCLZ9NxsxbWWOfbJlF3zXWOejFN0lyb3zAYt9S8wXTsvqYTJiZfMLV
+SAsjrp1DybcaKkN8hFghD8hSUUwqMGbJGnuNvw7S+SL6sn02pWn3OO+OjV0ulWSxYQC6FmpIKeV
svA27m7AEfJg+C9hBVLAfe4rL9550HnNWoNb1PXPCJWjbojn3ayrITBCAjeU6EwY7NBCyXsS3BAF
jRtDkuy/D3blncBlGeOWwSq/RETFG20UcMkOIhqNrCDBwuLvdWUG2teuVRSEcmk/TJBCxrLJKWuB
W3sVXg/uKpKUaR2BXA8s1pZdlS+WlG4i2cMh96fedqCYpxtXTWcUsQWfaCqRPG4FVFFk9mMyJAdR
M7Bq7gyyiN6f4+vpJKKW4svDyrSSeCN+ZYTWNBuwCJ9Nrn57r5L3QmHEctaQ3LsjGM4fzfT8ej2w
Dilq1GIPWASRuP8iGjJFZksL4zuRTJJi7+eSiv/M9JtScJ8e3hkHcUnxM3Be9oOiQ5ykLbZOnv8U
x8W9B8d8eozzExaZAi+Vuuy6GBNpdMnrc7XZI7WCJxOgjxn7K1oDtFt2qPsh7reyWn4TeGARdMCo
mxJ+HeupSI4kRWdiRlRYMX28XW3FpveM8/Jl72sLc3HrVD5P1ERCdFdH1bN49mZk3zvWfXZjqdGt
G12A3h5Dd7a3slNsMf2rfTTblocGdlgFQl15G/G4xNMQsRyPz2gloqIVGL7qsq/crJysTU/4Ojqg
z0R0CiAi0DakfYHXO31LF40AEYA5YzWMEei7qDjawpECJLKtpac5OsYtaCgzOIjr9VXFGnW1Cevo
09irJ3Hn5rsEtXSVGfGwEfda3JWozpj/1wriKxMGQDwTcYSIiby5OYi0CLQYx5Cq8YFoIvrYNU/i
wc9NU9yapTWIkpKVz1UBhn0jboX4kWpbcn9qL1PXrKAzyjWK7/VkG4Lc5Xx/9dRqR4BX2i5hNECr
e1aKtIZp6+/SEaJzrQ5P6tR1iM92EprWfvRGkMDY8a1k6Jwo4VboCRlRmv2fC7/7DSKK7RVkd9VX
55rz00NNBofSVlM3ogsQ3/cGufGDCSCrf4rh8s43d4ZTvHtr3oEqPt5BjW28LIA1OVY7zU+VcRva
/lepSeTtcofpBE+qZUPpXjoXuX1IMLHcid/SusU9Nkd5h0ZjO66rxL/UnSoB85j6oem1FkeK2L/m
OU0+IhzgRxvREtow3jGEYeoyNQS1R9pJh2O9NJ+pglmMVNDVdYcE20G04L4xusOQGkxLim1qdRgf
2RO48l+va2bx0fXBCjupBlxhAqQsbW8Mr7Y6ARi1zCwneRu6t6lbFi1JJJe8jNWfqUcy1NHaulbR
gVmJHyxPoo8U9UWwvK3vmugcFeVj4XQHp9LXoiXMh2ArsJfe6ooNAtEXMmGv9ih0H5c3fGnLIk8k
vakVym27qwDp7X0r2IkyXTR2UWM5/mMTFGnx1ERsPkak5+iHcpH8kDc327wwzT9dD7ZybPDH+tGD
K7eKgcdkMSC31gThPH04VAeiqacyUR3UHT4U7NMzLhBPvDNVjEGtezrWjxZjA+aHF5UVi1HO8NiO
HlNAKV3ZnI0Jqzr2+WPa2c1O10eGEpUqb2QvY+2mRWBmxQbvTvAOhnSyi9THrtx4QX63MC9eHry4
qkjOr9OSFplLM/lwSNbF9aHFflA0RhGUU3ctYmoEfUkP4TyJuy9OkoFnHMCs0OxaF1r9WrwlsNrJ
FdF3uZ2tfU4NRJTEvGXANXgLqe6LKbgUPjesCaX4yDo41JBwwjf0kfoatMDdkTHZinssAvHYw2l4
glAuc+Qh/p4O6skJtWQnj/050nMEypzmIDoZhV67hrObo5678TNv/gJo9U9I+clRnFA8eRGjp68n
NowZdD/HznnALM6eMctuZD67eJ7tUtEils5AVmTryHHL71PrXtm0A8T75S7miUVPGk2fmcROjI1r
QBcSpBJ4AZ/BJWuMxB3kR0UV9tagnGjoovSKsZ11zMRgC7xusR9s6zgAzGE/dw89Eo3iwFwnOIbN
o6t5FhUoXsaem6rMnTBc6lupRdpOnF/8LtcM+mOt3kctrXeyrj2Kp7o8WhFLm+ZHqA3Bqs8ylP6h
kP+ZoC0dhyS+/SI9D+yYnuY40jB9AOO/VRIzhZ1fp90VQXb9ADStOAnWThc0xYm28Dv3k2R+vuJJ
LH3M8mD4QP+KoWfqg1NuDAjSyGJYGg4nGS+BTQ++QSFwm3PLxJMRzdqTWXs0gAe7Gb4hf3fmosLS
oy9Pcm7QU3+/3ISlVMRElf//VIzVethL16WrFz9GJOex+JIWsTlzDLD9YECLMIMY6EqNeZDxWBRV
xGXnIZeI4rDJqzZH2df+A6ufP5Tid74bZczH5qm9BhZwYUMQeww+9GL8yuYIS9fiNRkz5GDW3qB/
RWuF9WS/jQ5Z5fvyVlSfo+70BQ0AgzRePI/jREsVI7olWPKGMWHLQUEpUgEmNg3CxN9ZghklKdLv
xrLzr8/HHibOtc/QdWuJV8DTdya7VOMavd6MTajvtvghenlSbVU+imGZGNSJmAjmU0/DQpFkIwjN
aw8CyFJZVFmSIrYEy2Nc8pZrfDg2SF8bhDrow+gzRcfZAARIDyIt3jzueMQ0fiqff/yYK9kqkDr5
3TBSPMK55Y3fPIj2R9FcA5R0AU1Pz8BvGiQ3REv556g4eu6qAOVUBzuPNx+pIB5MkWUK94ETIgge
onQpWOaAokAESz2R7NwfnVKmx/nXTy15Jnss78w8npkbs8h11LRh/+Tv907E5loi+jEtDprP+q7W
xwt8PEpS2NiozRdlRGpW9CvL6EEc+095SxVROo+zRXQJxPNYkiImjvvXs76bzojaouKHS/1T3oez
friSN3X4GM2VjQ+jb3rF8XBmr6IY57mqeOFFwFIK5ExoREzep2W2JVjyxgRPUOh31ClqjehcSXS3
4uRL1XclIurqHgghtuDnFi1eFvGeLC/L8lL9a95ymHjvRL1/yvtfT+WO6UTuz0LQfv3GxqGNYe00
FhYfriWYZ7JL+t1axT9V/5A3zyem085XEOf5UGe+Qhc5F0XqfsuN469F1yDmoCK2fKNFH7IkRWwZ
kC2VP+R9SIp6botgQPtDKZFEiDITIh8vJ3vvDG9FE56jIlekR5aymVYnRbJTnex56d4BU0EbX9LS
ONHIRVr0/IyFPFaUjMSw56Uj1zPqcS26B1b/kWStUAb+Q1ebOw1TZg1B9C5ZPkLCRPxt80/d7dIU
LDHpX+oszWDJ+9BcRFKU9l4Vs2Rhw/Tq5FHfNJYaj2sx/40AGLBcFPUvXt0Fu/mNFzdlCeZudUmL
2/WvSVGwvLoi6bGQ8qf7FukPZxB5YxKBnVAiXqOls58H1nO5eD7LkRVeJUzekqPBwog2rZC8mzku
1cSxIhADgyUpYh/qiU50yXv3x0XJh0M6p5C2o3YFFfhQQqXANUDUYKVcU0ByTB+uHEe8+ll0XW4S
JclB3Jk8atPkMMrWqkos4yBe9uWJzu/+u8XMd0OFpaqIiccbZC0renOleZErtRA90cIAmRQVrexu
dHK2Y1BzUYabeEXndUrRAvpRDavP4kX+s6pVyt4W62y2Tio2B9M0OUZIBMMSh7QmgrJit3K1pF3D
k9A/841VPukOW6OBARkd8rLyYaiKt9dV9yw42wYbAIGMdo24q+K5lAlUJrXIXvIQnongk6vTAx5r
RHfqeT3zw+0XN/XdI5qnrvNdF3MWEZ1f84DNydHRh624y+KySyB+wJIUN/ZD3jyrEyUfyZxLTVG8
/CXV99W1ibXeChtDrOK81H1rsrDfawgBblUYsyShniFAmh3xmaTUUNk70yxkeqZSxwHmqUYR3k2l
9xwoyV6ZziFHZXLNvbJeiVpjk/QHacz1jdwmgPS6LltVAa+6CJzE1temA8BTAVN0iSN7Jwe+kW6R
DMJwmZn9llVJUMODdaxUr7rDyWKvGdFYiOeJhXtRKF9it3+ZEO1PHjKwT/Bvyg2qcT2qHCRFXoLg
URKxPVH2qECEZhE/hY6FsqDeXIcQLQQL2MJOZW9/7xju+BAX1Q/4jodWV/K3PtVx1Yrdr2nOkLzE
B/7kejJI8aR6aZ3R+OawWs/Oruux4aDUqON03cqryvJTOYLpZUqev6pybK5R1AFeFSDbJWeTLYDO
UvKYGgX6TbK8KZAIRhkqB8eNEWNx66cSlpIwE+hwFPAjZV9lZn4bh6i4iZgIkiyz0D1LU4SFWYQ3
stDb5AXyQ+7QfdHZPNvX8iTll8iFhh0JShybaQF4ZbvM3MIsRPVahvCpuRiJyigYbuokAxPk1B3z
4SqzTyA12F5zWGyvUf0a2iF46KYAokvw4MrRV2Q1paPIyhNMutFdRJUrQ/hMM9itsbyHCjXsB5md
0IdYUpT10PceMwgKQtMBWhWb3MsUS1E8ZFdD1zU3JWqc+zgFZQJsz6Rtwa6mxlLgq0m8VnILV7SO
3Rl9wGyu71V0YdxfQxSMtzkFmgPlX4s2txxfBIZzR2UmWBd+vUL3VNtaiqFvhqFK0XgDTJ9pin4y
LaDOwFqVjWqqUb3CCh4ZDBzAc8fPLwVUu0s1BUuS9rmPMtZQO6SNTLhpuXpKRz3W1oquKScRZIP3
V2bWFtJ6cGC5O37MYjOiBi+tC2DUNvv2S9SlnzW20sGFQ/fn3dLhM4NMBK2QFajEtOMvtjs/+Wmk
fhmqCLQCgjgvXp8Au0YH6z4q7CUbQ2ScCzttT2ob1oc4DrMbj0CB8l/LT1Uv0biSWL/KWvtSohp0
tYPo3plFBfVVKp/Clo0jC7HHrUiKArZCX5FfT7dlv2ox7lgNU/VQiTHlC8FyTcexg02WJUG7pc/Y
vDvYSL9a8aifxanKSlduluMfIIfh1Jkgi7bjg1Nsll9Qe9Fv3x+j+bylNtb3qqm3qYyszdrFYrn1
kmeMCkcW7bOKubKpnyFaVE9wz9sbS8dHkcJot37CtA4yVNIj1jTVEHmWln88KLJfZBs9LlwDAWpD
+2HFYopKMOgu6Ke1l7JjWTmPUTsRBRZKFkdkMCPQbNwKVZfqPWKbylokxe1JYnn6VFlgwqb7Y/Y9
QJdiGuiFe7P/Pf+dOErdvZmVcM6m+4fqNIi8ZHDwp6fN9J2OcoqIiqDwRhjuS1q0tr5GQvJdpigW
JQ3kjk13BzgDAs/rVuC6sFTICzoltfxclp5/aM3OQ+PdL77m+U6Uh51f7mIV1aZilCwWrCUbt3DW
A4+VF3iXZgq6CN0TW3P37wraNsZO5s1zzXALhSE8532Ch+EUiJjI05llY9lgoqgWKkGF3+C/VBSH
zLWXo5sec8D/5ZDY7sBXyMr+42nqJkPk9rG/5TKrgesPv07UFhcZslytLnE98SjYdtSNGgYsipTX
YApSBCauIjm4LoqFgdtBXpdDFten4lxGuXy1VBIxHPTOfPga9pE5OLRZVfHzwsETY5Ckk/VmAMVH
WUqUfjhUJMWFa1RHDxZC4POh4mrvjkhUfdvkADQ+Fky/ashDyI6PY2Z+jrEnBbk02vG5Hor4bPcB
gBMF5c0mYZ9RZrdiG2W+8iznfnex1fJ76ivyc2dm8rPql7eGDvbG3jRMF0QH+fq1GvpfVlmrZxNo
yZudcCo2c/JrjJrBW1BIn+Aje3dRqOfe1c1C80GUgRTexhDqntKpZl++RZ2ivyhukL0q0VFU4ZuT
PMtVBf3y5pfxcGk9Jb72U4C4n9qt9Kgkalbjij4bNN6UFHUgmrKR49q/5KjDvdRm7RLmUvyWOCU6
2opWr0VSa6vuoOGausl1A0X8lWk07RM2VkgXGb26DSBUvlUttggyfL39xK98AwqWb8zE1Q89lpkP
udm/AKFpvhj5t9Gu7E+GZNenJA+QTjLV5ks1AqSQLSN9QEQHLV2//e1ZZv0FyJa6GUNcxM3KfVEA
n6FhW3fgPYmFfr0dsYaFL/xXFrTIP4Uf8lTDAhWbjJe8c8otfm05CnNW9pJIhnmq4mZAc7vNXlQY
009Yv69EoQSM7QUExieYvPJVZJluxf6C3eV7kexRkzgqzhCtRbIMbf1hZJdOpMQZm06+ymi9qTCi
z94wgkvIDF87l2jFQIsuXVTYzPTKonvYbMDiIeuJtOy2cDvrJEra2nW2utIZtDvcTkaXngfBmOCt
lYt2DccnOImkFcgmMIWgPYukiRERPpCqexHJURq+2XzzbyI1tMkD/XX6oIXge9zeO/hBJz3GSS1f
Axcase9iV9WlxQNAny2yE+1j7tSvUVjLZ8AK3aOq1rwqIaryRWRfRAWRjy7iLpfK5CayRKCjchSY
EBjKRsVwNcM9NjG9R1E9hI72kOqPVZXt7MYuMCwst8iY52dzsLJz0ECWm8SC87MkE1RNYSMzKw+b
0GkRHTeD6u4rFlbgg/GCQlj8RTYKZ4tuZn4QSTg6QOrV7C3XeyQptRYswVRNaQd3haYfqJq0x11Z
rgGKF/EXUNTJHjq+tVPZ+/hiGto5tSXjWfcT65pHBgCLqVo9yL8G0JJHPm3KlWGdghsRMXsKRiV2
16zgVeB3/8pbqoiYIdW/ilZV9v90vFoDgGnM8F72Y3XrpQK4dGYjfQeqS+dL9CuV3Ve978y3yurR
B0rV7JL4momycRGDiOvGT21hP4qqvRZfykBzPpdVKm/sMjSuce5gwFKWqKWgC/sKHemHhPjVNszW
NrChi5zzUtl9+K1RAIgZml3dHb3xTpJpRfsg9uVnVFXKlTi9NX6Wc6f60bBvBIxID9FhHLQDa7Y5
qru58eiYaI7zulsIWyrpKkrKDGVcNKouOX3qxcz9Teuq4alEnPxPwVxHFOdLLjwSwM/I+G/k0ZPD
jSj3wT1exNlCyybTLKATFpZ+nJOiWHWUqN/xagdzTU9RHw09Mvay2cHdXk5hWPrZBF5+snxD2sZK
pmJL1VkHA7zvEa+b6qJourUzo2R4GPBx2bS1XL3yNspAf2zrK2PnR7R5pN+V82J3EUPSPjN2j89m
nek/4CQiFqnTz9P6eGmTyIKk4o3bsijKW6jW5UHXiu4U2LWBu6+bY0vQWOhjAVal44OZqebIYrmt
+yX0+tco0KVfEkjL+UJJqiAVlxk/h7j75kuS9VkxqwS1Y2V89k20wRmieHco1PY+mUTFZcmNz20c
GnuWA+K7DRUIjHNlsH5GR2a6o/+FDvgr5EPpp+rhgww6iRE2g/DIs/VfCcrIatO+eFhzVPVT24BZ
Rqe4enFq5oRNWyh3cBsN8BwcluBdWRsW11z3oKoaHlS9NUkayDFucUqTnEXMskq2AJFAuDYRsi74
1zwpVue8pLHzWRlC6aq3jsM9QL639OPyJJKNhvJcaoXNUQ1bhKkUxmXHJgfqllW28+pBSF8VnS9f
2yJ3X4Ny/KIannoTqXFCgFuqcRdVHcU6B4rhPoiU33r7Os7jJz1T3Vd3ZC8xM6rnXLOsV3ffu4n1
JeRTua97ud5bded9zdR92ZXm1xxEFpY5RXnovC77jM3dujUC+4l55AWTh+xWuhLi+R7kjab1ldWc
NxUEGTvOOOtOTJZ+j9jRwEuE8JoWaL+E3aGBmJpvec3rUqHSSm1TmI2x67AUvDVTQMMYNhXeyBuR
FAVs2Ga3asRtC8vqM2Anruw1BegGDEdXrN1lN20KTKR4z7akXVOrGJ9YBfjc5MHwdQgmoEcNnwMd
KCT3YvVzOHbD174MjHU/5QdT/n/Xt5FcWuq7tst5gKetK89G8O2v8y/5/3b+/64vrqsWHcxtR9/q
qRGuOybsj3k3lI+qpat7c8pDLqN8FAUpk985T1RBKLJ6zKe8D8fy5UTOSnL2oco3UQTGxLZ0ikre
0TKSP3ky9tFOqu+WaqKwDx1nVZbwDbz8LiW1AWESzlevlJ23tXjXNy06NpukV7K7CHqd55W1b+pK
qYqt6kfyxSsg4tFJiQQK7fKlngKRNDUJ0v2cTopNy3QNrce/SkX+khRHiDy07c5pAKBtyZrPtKRj
Or2xt+85t+tbi/0HimTOlwg+E40qT4+OC5dU7a2nwWydbxoCdKwWOt3dsG0MRyP0VrJYDth9hU0M
8fhY5dJOU53xE4oM3b7hrELw9A1a1lFcw0+A87VFbVxxwnZubqOw0TWdG/OKu8pdewU3YuA6oGk7
tar7k1r6aHZPhjvCUWc21zH8DHIuky9RIIIWre6tDcgKJnprHfVYzxHXqd3HxIqkRwSim416cLAR
i8YRTRcN7RhEyC19xRAEXkzYl3upSNo9kz9k8bXfhV5/RWKk+xSEOMFHTd3eg6pVDnJYJ0e3j/Wb
76l4Ykj5+Bb78W9Ah8lvDvaxgz9Juo46Fta/j/jJ7LW+8W5FVlWP2RRoMsNDP0MucaqgqRMVqQKy
YdT5TYnhxSOZLG87J2tuor6ohsHTFtPIAQM0xGmiyZMdyDxesm306CHWga9aFT8gOoRBhIExmtbI
/Q4ftPJmeE20L6DWXKMEUoXW6+PFskEWw443z1bSBccMKeOzowfGkWWP7OQMY3dKir4/SnKQnxMt
w9jHbYNLVLlIPHWWfYnyAa/XkkWSoIncXVjXMg4McrmznayH6IroMgJQ7QP7E/k2Dq3m0UXtCd1g
sIP0OKCBirZ9HhusfjB37l8CA3nkRl+1jc+ilJfJrxV70Gu/l7W33rbR8kb39BPeM+2qCIb+6uJD
hQR1Gm+KwQ9QwkI/jm8ThA83Hr9Hlb118SP7zO51ha5NMHHtx+AZLOnvwJTH71KkfWfhF3q54bFQ
7tnqLqn5OLudvm+nM9gh/h3gwHIsHnomVOaASCcQk+8ZuES10b85YA2YAibdGW3U/qHESH1S4x8R
XSuvjjE0SCHzBjAzyg9JpSAkg3hffwtRa2FQ3h9SXQpeXMmxbpYCm1YYwft6C+XOcLtDG3fDZ91k
7qQo3oud8aYoQ5ohGyD3nwMAgFsv79qDOEoNo2OpdcoptZRuw1pidoIRFDJVnZDBhoMhh1uv5ix9
QBBRVBGxd5nmVCIyP5Ys1ftE6BNygeU8Iq8obHhobOCtExwDb0ZeY+VYS81bg4HlqXflBPkKbkmC
3jbrlh1MjymJop2zHeoMn8spqeoDpCXdyI4i6calsoKdGK4weYAkZ1pMCqZATX38nnJ9yM+9ExU4
WBATwVJHxEQeTuPUrlQgSl0KGut/OG5EMCqHoP5f5xbJd5e28BE4MhJavctbDhHX74N8PCXx52rw
/Rf6XHeVhZZxVF24FW2qPcuO5e61zpfWY8pjtpwsfDCL7CBS4iBdc57rJnGuhiEdkC4ab05TQSms
0/pT21vFSuss71vtSS8QipyfuqLsUpvuAB3wtaekakAFRHmbJPzNYsYddZDwexGUIZ+dqv482d2v
I6PJr6xzn2VE3K8QBYprqhT+DjnTcRXpcnFdCkQpA6w/9XQsebLaWsvNGxAZnJunM4hDRMUl2Zq9
tbK6kj3Lvy/y4dRSH8EXUt23GIwqgpnTRZYTiGTcyQc2v8LTxu4k69L0HgZEWIfi+CK1PhQS1XrQ
UXJ8iM2p91UyEAa6b895MH2xVIrtg8VSwdWSMS4JZaT+5+SUh1N3dw2mQOQBwVS2+KKxCzKVLgWi
nsgrSjnZ6R2uACJZm1q6DZCF2TThwPJ+UX4PIC44mVx+UbwB+lubD29WzqS9HCr3OR3TdgNUrH1U
mxA1TKtP7raGqEqIiNt1MNrukIGqRcExALOPbdXRiB00QaZevLPk4JbGcrFLmOs+yGjtsmLA6nVs
lBIL61nyyq/z16x5258iEwUUY9T1r3iKfnar2PyRG+5JZiHTQwkHXlNURgylX7O8NpHvY5GBDY3m
dz84FzdNsx9aFX6TdFap6S0B0IMaMowWNywdqQUDSc9kTLpXt+wqNM2ZQIjS3vLzs59ABRSlKRae
F7cdq5UoDWM/wfMSTTlROtRmfCsl/Ws0nYkdj/Qel8WzKAt1mzUnhJYYkwf3vJalW4iTEHHPGIO7
iIlATrwvoyoXxyVLxHBD9TchPj7zUUupbCXWPmQjaiXyrMpHbtKu4J0iDrpe6i3XkbvkWumZeXJH
lbpjiCsVTKTnPnJytohcNk+UWDk7dqOcZXhUcNYDZR+PSMWIAhH0NqpBa2mqU0rSUOyWYxRX+pGP
Ocp2f5/mXRXDCuGQiZMvZ2ux6Vi31pBv5vOKYjcOucS7mqMpSWvssPSNZjoQwabTS10JRRAG67sD
RcF8SfED/UR2d46uv815mvgFy8UHJ6IJulYjHyu/3vzjf1pq/zmv8jPx0G2Yf8N0F0Ts3Y+dftz8
m0TJfNEmT+4hwq5QxfdGbcvnbKomKrh6yTKPiIoSEQzi9ouobjdIN3TfHXaErv9h6zyWXAW2LPpF
RGASNwXkVSpvJ0TdMnif2K/vhe7rvm/QE4VK5REkJ8/Ze22lH7dUG8SpTd1NlyWN3xJgESVYzaKu
/DSrboahh6ZxUA9WHC472+1/kOXOQQ5YUU2+Bj0jOlJY5FG48MHcsT/Eufxui9DdUjOdHBCmSaMn
gWbNK8rW/bIUIrLT3lNaFnJAswIcvuPSY+xIt3La7IV95h4T3rPoBtcbuOzgesxPbdggLu6ftWji
h2Hzg4idXQa1O9sp/ssG1RMNnU1Od6sS+mdcjWeFqedcEYk4g2Co14FfpTB0yPD77vERs011s1Oi
aPetzJQ7NWXLW5NndNeEJ0EtQrzc+tI4Ddik8uzm72saIS7eUo3F4d93RXTygqIFuURuqnJ3/QQe
tE+54Lhq5ICVc3nsmscuF+PdSCEk7RYWesmWfFyQjAAvS/lDomelJmSFhBxiD5rehuwgJ2/Caipc
9IZmfhm0iQSw9WHOw/t2xMdfVCc7Gk1U/zxUdIt9PGbTVq9gjV1fKyEw7BZS1miY/u9r/UIhAdJU
3zWk6FWOGd4W6wM4Cre2mztpgWvKJVyciRrmblkfktyo985sz971Q1YQ4y6FRoFhqPv70r/XO0u8
JqY0jteXHKXR4ZJNC3GhXbW5vnZ9MPRQZ0wEs/H6Jf/1CYh5xtz9/cXXl029Yr47V+Xh+ouvr4Xx
6FmuNAI5t0ys1z/y+skkU8uTaQEgXF8yaatfbFsJxihO76t6U2EIvpOaltwzM/+dkiY8jJpxA4g8
P0+EVd1dH5wF1j9YK3P777V8HkpC3CDzZ6qSKlgaQ4PM6/6YmZl5R7Pf/Pu9fWJtliok/SiWHSla
Dpu2MCdjaDFrZ/f3YxKSmm1b5cJH58vn49rUT2vxnHbO7eJSHQxLw6yo6cWd62bKrZmcovUDI0n/
8zCZ7XtP1/I4i3zdFuL3If0PYca/r5syKEf5wtJ7/UG2WllkVyR3BN71l7qag79n1FInEVpj6UFF
7m6rtojuBU2yez2tHuswmk7XL7s+UJLpHrFA9f764fVrNSjrgdmgHL9+1/U1HBU5loTshj3c5Ltq
5N7lpeHeweVejobRf0RhCyVkfV23i4EkqdQLUwfn//XLIGAemNzHN9evoPK7UxPNOCUL5181J3Kv
RK51h1nUviNBrNlosUOWwbTYd9dPaBK4p1oznLl+eP0EwBRxaXIKRpI3FMixsWSUbBj+kLD+ZoN5
/ve1Mb1Twsw6e5frTbp1ZhQT4Czj+xo3REA8S7YxbMhovi2bcGu4BuRw+C33oJ6TeyE7vKFGRv9g
oh/qGDmhQmuWyfWB2mUhLYs0T32ZqDbqiDg8hbCQcCX1hYCH//Ns/RC+3mspyfIjW8NFf7dGq4SE
Qx+vz4hrLphfH+XqEupXCeP12fVhvAol1wc2tQgnry+Cru13rs7Ee0oBvlTzU/xXeLXqvFXK7vZN
1RfaLJJd7Gp8+PdAjYzV4fpxcXU9DKJ4FavxqF+dNO36J5BNhPPIuvqPzAawGzRImgJwd4/XB72R
00LAUbvyN/7vqZ67X0mmw8DoSrCP108Pw4JD9Po0BTsD8j9LGXMAzmdoB2Xv7xFzZiJIMjgjqWMx
Qrwexb+fBvZyWrsyO9gnxB3gMMO+IDbKbChY7PqfuRffIbSIvGp2E/Ffgak9RuQ6Hqt+eLM5rKeE
OLCt1MRHPAt3M62q2owfU7knVpxic/1//x3t67PrO8AMK96IiGOlkJJ2Uns9aLNI7CVBbUfLqOqD
xSYha9LWU9R+NwrrOee/Ns0Jhz6mDpV3mFNAa6nJHYD0i2IGaYuJeTWllavi2l7frOuzAmjDpgEL
wn130I4dZIuosRh0GTUkviyfzv91YLAoc9wstwOhaGu+ohQh/X4abk1sfokiVjaGea7Gdjp2sTX+
fTBEMh1DfT1yxfxRaHpzxPLbHN2yATp+fVo67qBtrk+v0avXZ9eHzA4b1E4uNIxVO1+tcSy10WDQ
oej4f0+s2rXLQ1IAAlg9ouu/eX24/sP/PuwLA7KMRm5muHqYllWjeD0c1dVzen0qFxpeZWHPwb93
5nqe/vvw+szVRuKtMPCyeFdwAnkwVtnfvwezF/GuF+YpW7X31/Pg+pCsH46MOLZL0p2vL9WhSbhD
5FCNXGMNhmuigaUMvL9DVT3kWteSPmqUeMBW19jfp3avj4cMyBcmeY7pyodoBDEG14frh2kChVhL
lN+WknI8EQwpvaWzB1JRlHQ62U4VGMR0yWqavaggWjcmnzpQnYZdjK6GO3o/324+PWn1CtalHiE3
tiJwDiv9zOh8oxcDvtHspqia2INRxqB0qeOzhRbmJgp7n3l7541zcSk0bhGl25iBC2X1pDbSZ8mo
GaHTWayb/gBuYN3aLuo97nt9v4wkCFkOmbT2q2xluRUMYVCx9wNZLF20TSRBlKL0lKFgPoJMMOCG
y6KR3gpds/xZm5VNqEhiYQZ9C/sfPN3ybIj8UNY1/TsiiZJOvDdjQ2bhnG/BLyUbE6NfJftzHLWq
x80RZ3JcVUGHISPuz4Bf0ZOkjHQVldFrlNJUwUvlA2VLtmOzZkRLAxUuLQqG0/5S6yP5xk4X1CAq
Oode4zD9djYHxhlcolL4/mVwz9GcpX5CwFZYpipcUyJKE4129aACvjVS6PiEZjbDbxriyFZRUvnT
Yjq7ENaNUsu91GMOAhy6RFgcaRHjFe9GgS5mfHGdtXVJECT1WPdtc+te1xZNgx1jW4cy2xnKjBFY
Qe/fj8qOimLxmT9+UDzHG2fGv18rVgabCJmOs1B7Crw5Dng05Jv841HpzvvMuZ9AIO2ZeKpnxLSk
ZzgkMKglb3SNSxfPfB8BDHYiRyVrqxcwp3A9xcqvDMmWaaeb9QzSU0ve5PHyY/JJv+y4UTZsshU7
vFR6/9UU0JF0LlFfGwfCmuaReWNsk5ijpiKgIXquso4EXAufGA7uIKedYAhM4Uum5r4lV6QIrGVv
0uVryP0igPLqkctMPmjBCMfhd1mNm8CEWAYfVc4M0cu86RtlW0RdeD9DXF8a50+dk6oXqdHnPChb
6bARHLUhWAvAwTLiE1q5renG3wocVq+ayCbWpuXNbWhY0IDUlB+biES4RkZyMDQ6eW6q3kNccHxj
zoMwHp5mzdkShIt8JEaKpQiVaSs7JCX7yhqt3y7N1AdznNdbxXmJlbL0zLQIN21e0p8Zyq1pKdV5
ifmBo6QzmGjabTSlEjTlfOjVT3b+se/O9rDp28cuI6q1Ja+Lfv7Gcut3TQ7gWQAkOQahx3J4QZFr
ADtKY58Uz8KjGtT8Bf6q5xKY6sl5KrzUjvemUFRvANllpeIFkFgjEEmC+cqpjxo1KFPSVxyIoarW
7zUjMvnc/Bq5w2cYNS1Qp+o7Xd4WPQO+lsdfiHOLoNOfiVB8HtBLMnWBljqeXJCp62xDTr0T0Gub
5t6mZYYI2Ar1X9o3IEys93Q0L9XE0D53z0LnywptvDFUqn/W9HQzkDos6+4cLj0BsuW8I57XIl22
jPfzH5Kz6Vc/ZWX/ofUEyqtyvhMplX+/rLjeikYg0egM+gQrdAlkskczDNgw4pzw26oHCJZ+Dhwk
r60JBVYM5VBPFFmx0Bpf7jj2apDbNPyJFDgZ9bYtzPCebEO5YbST+lNjP1tTERhlz0KggKHN8zcy
7vNAcxl4d61MvK4rXtGLYnKU7KGnLCEvCfWm1RIkvObEooyeNp2SvwDzvwed5njd62BBoGuSDN/9
eHAS/btSsu8i0b+6xiAssIXMr7KHosO9K8d+3joFw4JEQ8vu5OiI4jl60+iCTgWwv3GuHtW0uTRr
o6qc10Hsj9HZRC+M/MExUtluEB7cu3YzKdZqd65vhzj1ksqiW7IKdZtoOlQaN4UCjZAFvA/WC6um
FfmpdmiL5NZGiOHVeXUpsuq3MOxD01ifXcLGaxJ3sZMXgVDzPUIV+kGhJK9lDPHVO+NRkmYWgaoO
GhTom95IIfKMQxZYCmn0uiJnTzHLKQgN5cuBbBSHA0L0xNgIQqV0aVu7eWqfiHljDF2IHV2AnbnQ
yYzL53JSt4JU760TW+iH0awkJqeZUr25apUeBz+KnZUh9jAYMbTx/GVeZB7An3mK2+WrmqxXvZrv
B8vXC6vZWtF0s4DmzCzIcx35k5pl3VRgrJ2qgzNY6UzURHfIwhCZtrUbEyVwErLu3+ek/nCj/Mmq
+/NkoWlUx5dY5vsODU42cU6kstuCZANNM5xjwIEI2gCjtbkZZDU7cKUNjJbrE6q8me+brhpp4s4w
4+BDAw0guyIyP2Y5fZBNXXh2rjx3DiAbmejvXZF9jeD0jGZ6x1/2g2wXXayxW4bk0IviacZG7udq
9VD3wMsTOExDhqKa4/EoCBHbVYwB0PwZ9I66ZccAEphad4j6/p5MIzIEHfrjo7R/OtGBpuAOS8Y2
Ue+lAPkLQNlTxEjkpVqCbcrPuizvM9A8nraM5ka47m6y3MN70QHogzZ0qCZTwtvPEMvPyCNicjRJ
Yz8RilFd8A0j4bPBputckXVIZ4eusDS/1EKeM3V86/mj2Pq9JogwIH3mL26rnFj5HhGX1V7f2xz6
6KKRTF+Z+k6m436qwm2378Zy23FYWCTY+TM7nDxmewn1/wgK2K4vCV2qvSRPTe0IFpvcc1bB+uyN
jHlKuR0Trt7RCX/ynAjlDH1aObWvVi/Puivveif3yXO4r2X0YRbsG7GQEd0w5u82nnr4pNXgM5oh
5UEQ/blwbjARABtfUja02khFM20cQ0Vg3O8E+4yDy265Ki5Ej7bUAYlKr4rLpX+1JE3lJXcmDw7P
bZ5OndfYEAFVgeDIKKKnysp/ajm1XiHzMWjcnsRITIdtrB4G1X2wDYrIOYacXUbDyeiosus+/Ogl
193S61sLmLfdDTcG3TvIKVkA4s5ScqahTQhKFO0UyN1XGIQInSJaaAa9w3YwOMg2h5HIk4UFXSuC
XrddDP+O4w3pWATFY1fAiBoyRd3qBsyGrk0eCICXIWx7bnBUkvfutzr1/VkDRMZuzNw7oXxSxAx2
0+0/hIQ0PisJupf+o+3cbTSAFO0SMordzA1yWgQtA44cYXxQqgoXD0VYI1K/iegI9Kpa0LHO9sUy
OAdCJl/tBHgPd/B+qL81SW08j1yeFXydNDkLpSJhboShmHK6NMmDxvIT4E5C1UR+z5I05yipfgkZ
jT2h9YyVjOewcwgqKf9okOucpcUloZEIFiYO+ZzlTR81J4tiMZLlZXAZGpIvAurqBgPRC7X2i8PQ
wjejNStCn75mkx1A5gzTxXG51VhzkDn9mjDI3dwiQCrt4Kg2r5necHWMvtUu6q05FBPFeJ55wqEG
s3J0G1HyO9DPliezWglZ5gTvbRqfzWrcaLo5UVgRmpHYsB2s/k4Zp/qQKNmdEVGQk0lb6ma5M+hM
Nc0yUtDGww6TttFZRUBD6NmKoz/wrWCnZmj2Yq3hCuCkUX5p+n0mVXYILWMiGVgyrbwUNRgzEPfC
y1Hb7hczaoMOIqY7pn66mDdt76JN7X9M5UjU8jkhmLWkCQ3wEe1dVm+wMt6lgxBbtWzegSwc+3KB
+FytiOaPRhBcPbkaZv0qfq6FTSWEBsqhSeA1akTdWSVgJpGgl84O0ZJJNKQ9+qmFuceacYWYn2kP
AnIYZzLbLX0rjPlJV61zk3IFxhzhTBAqwVTyx7TDIcglxOFiE2vWLrGmj2U6opx5zlGkeuSCNJtC
4zgRJX7BiYFsZGG/buFVkvPagjdfFch8q7bNhx7ypncnRdtaBB55rqk8ikpsBwC36yJVeXBQsULN
CKh3K12O9I+MhU0xTqAD34fY+KNbyrwN9QFYMhZSiIZsT/McvB0Voely9lcK3gEKE2ITY/wr1Pgy
iWEkZcavYcnSsyba/SbUJNZNWogmeEFdvU8cVYcqZwcZKaee4nKW2Kb+ScPlhwzl+jRkTK11Bvcz
UUWZrj0A7CsCpDIYKA0tULPKXL9hk9AjDnSdwb6T7YQJl1abpr2tDQ51QFr7oOY66CnyLdUacNTy
pCScbVUrvC6vn9O8xI5kHQFjBktF/TxKl1RfmhSelce7kcRxqJ3LxULCXovvWXO/6mJJA4RsNadp
f2+X47vdjV+QRPfLPPuWrn1UU2JCSx5B9GK+CKfWhE8ylj5zELUWj0Nm3/edgy0jLW4Gp2eA0qgM
st331JQk2hfGUygfeqGC6oYhSoIYiTuqHQZTXN7kpjgLzeLSjSR5TswxWtW+rdl1DFU5BnGi3hE4
8qwPpGK6fbmN4vkhDs0BLaB9z0CFAJc0hNm8vDnug2MpiET0lcVXyMmXMqXApsAEXxcFqV4FMxRb
Ys69oe2ZN8Q7pS5vyvwZbJ7LsDPcc076bR0bmynV2IkNGl+qJ+VG0S3Dd45dBLCTph/aBbLB3R7N
SWlvxkZ9U/KcUUuv78IJ5t4UEoaXg0Fr7N6PBvkVN0jvTeNAfdGVOQXGaHsmVSW7r/FWzQ5U0ibU
4ZyUqsT1tWqw+DXkIeSu4odoc8vG0HzHSb9nO36LmVPOc1/4ygAbMHX1+WDPr5VI8k2o73LBQLrE
h4oHNdpY5MBUon/LymjtULPzD1PeNddqfW4IzEpajU4reXXKLsVEOlvZ8zRx9zZJ9d7WIyXHYEnG
hB3j4ZiQaNd2YSh/1yEZGVlcX2QUbw2CRLbuPJ3qTP+TKxh24xTy+8obauQXiqRnBuLVVkGj4jVc
8RtXsdkbulxK49hdynnrQgGeZ9rt6LmaIMwi6GwVtsAGJ0LOVCvt8P7lIb2QJPmuwvys2gpQ87Qm
WSg0GT0l3T4GsOEhWrK9ttK/RwPsVP6sWXa5iyrtw9aUvb1M9E9c1DxG/V1VoE7hdX/Dm/mkoh63
jR5fFpDDkH2zzCcNFgrBctvGRLjeTdxNuRQxHJafSGKQfg+/5FteQpeI5YQ1SiPovBjsF1ebTnML
jATOHFnyRns7tOKz5M0CiXKfZK6+U9bI5biez7mpQn1Pyn6bJOzTVGr/uh5fuEaRgSCqX5dDa9NG
847vYwreR4Bv4wOxQs+ZpisBCVi7F4ykoTc2Ieqhb3d6bRzjld72k130VJsIU80FxRnR1VgnTnnm
sk1liQoNCl6uTUS29HqbFnnNu2rpH42GlqpAM0HD9qHi4HnlaNwreUbLUBhvA3NLLRqHgPSflafi
RufYFE/RYu21nAJdRITysTpRAUDaYw/r6LBbm95AaAxJmIbVnRtH9/UPC2/I5GfEWTnFw30u2KlZ
LX6adCQWRahvcUtQw6xX5EGNTwBI8y0arrvUHs6MFTD6KflF5JEM2ASex5XcOhuP2mdUOp923710
KidmZr6QffGoW2UgInIKiQCGAk6Q7HzsWq4WbF0oxPedob710vyj2AN9ZZRunUF2XarSjEm5/9tL
YuCYGA5Nf8kaOOAsAMjgVniz9h6um1dHic4LpEKQ2udMtxYad91X3UzbxlZeciKJPTs2Rn+sKLxV
EzVDyNlCFdOXlYtVXKieKfJjFco/pcBCEfcLUErkT23/aOfiZBRW5+tKT01VIr9XAVRPqaIEYs3n
7V1tgxWcKPq0+oqLeA+44tgm8VbNzO/YaelTtUwBSVIlSjHZ6XN9ySwCRdsmP9QDkam9Wm9QhX9m
WodcVCeh20w2acbgOZXo38IScLC54U849fGtnZSIhMdzqWjwnSwt9jA9hqPxEEosFGH4u5TKk06U
0GRV8ZOSfcBMLM1F95VIRY016pcZ9lhgSO3L7uVBd5PHamSyjgPwW4brwY7zj1kbXrMSXzVpC9Cv
Kv7nZLzM2XhTpcjzwuiTEuKTYNXYs6tha9bzR1+vvjyVG7lSuCgClwr2uI7ajtp87VROO6Z4cWDM
tGbVRCcAXqebEH+4JokUWVeei5w4pcp8KJxRMEFX3pdoPKsNCGm3vNFZwoXt7GRVOX4xArkr5SYZ
k7ckb4X/25j1l2nkf8K6RmupV/cFtEZpFywuVkvakinB452WctyE5MejcsKrrdUnfEaPujIgTsf5
i8tiP49gCWOyQdNUpanXlwNnI5rzRRiBykwVBleEF6QcfdWXy5SSlJhk2yWyTzgoPy3RfOTLcjvA
+WKsZt1whbxaGbQ2pQ/cskKD6UQ7vU19e+wRHCukRaXLBfPSEWrtsmtMY2OCN+D+o5FHmfuOztU1
LOqwJ9MBij4y8MnpgazzT9WG+zDZNG9s+imeQUXHWVzeGPlLL7KAANW7NpZv8cAIfD0Fl5mIKYQl
6jayOFHwT1yWPNzREX8LbXmhc3sbAspnl4APLW+0DSlEp1wUjzLW34vJEmz0Yspa/FSOC+VJSG6M
ZfJ4lQpEKk0Zmsf1nt3YI6Hab7VMv9j9PuEClQew+WQqL2GA7+XNrM9tHb5THqDHiClRQhr1Z4VB
TqsRttLPZrZxCn2Pyoi2XjoblAxNRD6kcq7sWrmw13ydCnq7S29vycsug8q0Rvb0k7stFlA0i8iz
fdnelJXCgIAfsHEy5Yt9rzfjhRBJ6OynRcE3WYCsJCQrmpzoOCQjm0bICcz2Fb9OTWKLZ3M3d4V2
VHImWA1OBCYRNhs1J1axZ2i7eXabA/a4xGtnMpgmzSgelLkDGm9n3e764d/XwNCnXJddHgY2Fg5A
/LXOvUoSNm4XFVkGa/rT9OaIBBg3ARaWPc1+486HysaSjsnpw6KPrAn0p7bRK3v+n+2iUaj2IqTT
B8Serc3LkrfdbqBCb0fuYUNLAzKRj+QLf/YyX51d3H0WZTwIbXB3dvhrk9npz7n2iY6Me02H3C1V
RUTOcf6u9ABVK4PS3hq1n7B0uGiosIsw/GOkovdpETkB2ADhGkCc1ZL/yWJZcppjMq4lW6ycYhsN
X2h/xa7+NXTIt2cW4bAPD5CYAaTTsZKu/upmQL/NbT0rN83665J1AmNYyKdGyPeu8wI/D+xhSbLE
UvrDnJ4X1Xoo6ts6FYOX5uNjGTF9zh3n0NaClqZ9m+m4yW3nu51MIP5Rczeb+X26jg5cpaBtOLUn
oUaj37UGV4RLCjyusiP5GGXQRM3EDF8GFNcjl7VxKAdBoI7J7m1vRLEANoGyQ7UgEmh2DRM1M2wI
jVG7Sc36tk2Ht6lYgxandNiFRvE7Jkt3IyFtRLS3VZOdshG53GBng/mAYWzcWH1LZvvGjX71zmAm
25KH5rDhrBOnZHlMH4vxJTQS6EIOe7Q4MiIPi7U3SVgOUzX5jpuyd7bN0WOmuksTVXvNXFZr2LHs
bmmxTAX5UFpyEj3dF2sQF/bYT5ZavHaFk2+UViQILaI3GCNY2B19h5tJ9RF6sAyuokOb2CE6hzSp
en9te24GHbO6znusr9PWRSEY0syyHUGmfJd+MpiFbVXH+lxw8hcjrcpwYLgCQgWLOxP3UU7s4RRy
l5wyd/zMsjQcTcOTlgMEVA2QL0NVI6uiYWXW31nawH4px30+02fWctM96OIgC9l7c8RgqltoPtl2
9tnT5ONuUyleieihy6v4EKXDWkDr7yYWF49uZQTuZGrv1KJgsKKbf6p19BR+NHRYfC1TqF3luaNn
iUy2PUZYA3uKkfvQ4qwsK5qdvYrvZLgM+Ot8NCr1xi1NKOkzYw9rTazpGzp+ydKPzMs4YSAjZLs2
hlJBeedNbdbfN2SmBx3xRiuQ/0Rf/iYyGz/v6dtMEDW0kbYmtVR9SIcG4gd3hLgRod/0iXojR3Vb
UFN6s41zOllILBfqrVsLYyfUvtlCiDwsTWp7VlZuYp3AliXi5hBFojuN9NszB4F7mk0vVonIVJXP
TM14/8sF6Q8d2TDp0mNe0VZn3wqnNrWIXhm2sBigSDRlcpY289OmpWlfG5OCKRYeZO4Wm0Ua3IzH
7g1Ez6Y01/qzwhq3DAczYyXNk+qltBZjb+sVamZRzUfRrTOhFjkN8Rto+Oyspa7NyRPHu7ERMaeF
MgoM2B2NQC40tlmW+VLkbeHbWhn6IFdKtJy4XuvUJ7KtBAC1XpK3+cSvyGYuYSNvTV8IseYpNGdT
pK/S4tiGmrT2aZIhYOKyx+bz0lr8x43Jr8RPRCcmsljWGMlYzvBquibC4qw4g/qcTlF1r9JC4Ywq
vZB3ZRNnHbjvrmW7x+/W6nlL0MjA1Jkqy2bWs7GcuvLTaNgLNu7ECxdErPai3DEsNmDEbN3hpooJ
b8Er+6laQj4UergZ0vnVGHFdDvbw3IV4PZEBtbuSIBqWaHk7JQtfpPwKUoJo60R/asPqA9vpjxEz
VBqHrg4YJZppm1v1N/xmDtGc3g1qrxA+7eCAGRxiN0qMCU2NnlanQ6cTNtKTsFlyJpshuDUuJFz/
9Y2YJcvNVOoHQCXVQllhcs6JWvueIvNT1X+HafkGPUO4BaBws7lbOkuFjBPShw4/gW/x3UK3tmqO
g4KRIfSaDpMJfQ9lHC4jM2aLFJ80HjZdrLy7rXA2vdYSuJZk1Q2TP3uTLw7peIKZDmMvX9WodNjn
YO6lYmVfuwPsI3yYGFnAbfuQGuF8tEKV2QZbH1EiybGjatoqsODRIT9KJVe3rXMH44LCUJ1fhknb
L51KV3hqn+XARMQapa9HZedPo6tRKOYLf310E3fyPbcYkRm/+pDcOez22QRzVxyGCakR24F+YgAd
uwo1+77FN34bkUeiVIRZE+4UjJ3y3VbDuxGR65WHN1mPtlL036NDQ79OacGjrnySNAXIe3Ph/pYW
zQ/jeQjZHqbQGzYYdD6V1b0W2/NpsokuKNL0XhE19Hxz5pRb6sqrkKIE2sCez16Z+F1d/qjG+EcO
KhWLNe411p7dCt0eq/wP2g3SK6GfMu9lZ6zb7QP/UcpZFae0X8x8F4PARWwYZEq6L1QCndvQuGs6
Nz1WHee20QQRB9mbaxd5IENwrXHNTSzH8VI7GwP1bOBMgrSN/nOeq1vusClVsOGJGvtcW5XoQOrt
nK6GXcm+g9A2BPJL/Z1ismKrkD7qqhv6cUPrNa7MhGc0TvKo6m9LC2eu8kWvffxQoj3TVxW0k7gM
HWO2ZSq/bHtlswi2Rm2HsG7gXdHUZRe5S3ebrA8m3bcCJe3x+pKVN0QZ0XmoM4v/tlsjaMJpXyB/
RJOrs5YSrO4oLhT/dpiDumEdDmvtKe2TlPNAfe3ASwSartt+ZOwdyzIDsbivURILXG70tKuuGDdt
yEamGPFBpF47Vc2hmbqnwa6XnZ4ayWZo88uEZIzZMdM5o82bHRcPwcZOn8ERnpjVMomjhGONxaUP
poLu8MZou/4y1M5DXnJAyyX3ilprL9KVNRneW4ebvlPDZJGMN6CO3bbhTJOfNqOMpz9jr0ERtxnL
p732YlgoC+vuo24gueDoohQqNm5r3xZMxIJ6EZ1P0boJsQ4OjFhh5qxBG+NP2s5BaA2S+MJj1vbT
FvA3ysXw4i7RTWSxV2Fbts30OvZHJaMfo41HjfwBipzphyUXeJTt3GlGe9/0GW0YK3rJZ+afgvtS
BEG6VebfifzgNDS0S2IaQyDLItoqOckIjeb82iYazUK+THIIPQEG2bdn1be7mfXZWL7F5Oxbg5js
9Ne2OEGXIv9qJry1qi2p/RRCjMo5Oo1G/dxmiCkkJ5fePeHjOLktCp8ojDdh0kLx6HXPdsXX6jih
EIdO0rm64Ye6fdZRXufMXzZDZB1cJD9HjIrP2hozHtUK0/aKA2CL7y7HbImPqKL5up1CB6hNmj+5
FnNq3SajCBbI0arm28FgemCK8D2+Q4HCquKH47LpdaT7Q3sz91m+Q5ZxmIfwlrgQrC/0IjJtQqpj
8zOjeX4tSvOnXaYbIfpbqlSwxfEpC/kKzk4FQVC3zUTP2b1WZ8xRbq00FpSzXUHnxNg3pjxoEzno
xfSozIt206MF0tEBb6tkX7SUuNI1fvTM6L3S6l6VSi70uTJuBhw3HWdmg+ipdeKTZJZGz+1TF1Ke
NcJi09iZt4qUbtAtle+KmLMluc8hM/gRa33V7sAqHdBMcivPVB1/f/2RW8SJhZNB4rTyE5n9Zyay
P7KNF85+fTc2vC8iIbyQvPWttXQfkUETMk1XO33KBM0g40mvnMgXIMroMDCxNTnMQztsET6xwh5T
mT7z/j/Yf9q6dYOIfgFtWpr+nat6ysi2yox+pm566HT7p87lqzN3j0whQl9PFTj5NsFZLkSpJmQ7
ILRVvcMcVSE12BJIsok8cLy+WP6HsfNqbltJ8/5XOeXrxSxy2NozF8wUg6hs+QYl2zJyI8dP//7Q
8rFsn3lntsoFswOaFAg2up/nH0q2/CpZZ8c3Dgilfdb83l2WApzYnM0SDfR8dmrpCtudfTfYiD9c
jca4dfgFiSDfZkzcvq18NNroG+JmgshzOWxzFVgb9PewehVO/YTPFNFokV+X5kbzeXIyp6Ou7O0y
s0P9WHzWExds+rBu3QhInWoW+DLAOy1m+xllBGDna18d/ZWEprsOJ+80AElbCQ1pBKDXUamC6fXC
q8GatEUchaciV3CtNLKjDVstEWW2bUZLXQObs1hd9MtW2FutHwLUxooSC5byVmdgFNb4+SfmVcWm
NIDRibtjCPHaKxtm+O1YxK9hXs6iU83eEAp/N66cpk0Uh+Utm7DZA23sH7Up9A5ENpZDjfe4a0Xa
enDEfVhUF6PFCAKZaj5GtOozsK4u0XL43tbJTtgKlaTLl9GoYlxlJEc09W6AfyP6NxRkrAaSGAPm
TiCntmWjFOu+uG4mVTuIrNv0QglWZcKirKh3udBYtxITjkTEtzeItRtOpyhjAvLDUqzVorkKXIzb
AxXbBRBHmqfUay9VoCt3H9OhWlddzRKgCS6KxqK/F/nXgIReGWNG6QVKtFJG/cVuymtTbXaZl47r
RmO9mzaJTTzIgCyUosji95cmMD4X5iEwmDXxCXRIh33zwDjkpgXNvfNe8Uh5Ifhllu4jGZTtgA0c
nJaDwaY0DFhGDIF+DWHlOuzV66hvQXto+yJIs41GeMDO7MugezOUh+VoUWKkOIJ1LSr9qR6iexCW
LEfRobKaDqKGsM9iMu58I741mVM2rtNuk2raeoV25fMkhyy6bHMSZFhTruOYaCSOnXFULfRyMFbA
KCm5AYudAlxMnRE1h8sd5eF27LSN0zSsSgg2engWLAolPZpD9dWPu69JTa4inhZaeZuWbcuPBsqf
n3/UQ/trNFivbZej16+vDDUttojfky8bEVYo2bXb4WdCsiTsC1ERPFOujXy6Dy3nMXaGnaob+zJk
qao0+hH5HegeJhidlgeiVbvt4vhNM5V1qRY8MJCG6DxzY5U8YdX+cyWQDUw+m4aJD1uyJ6h7YztE
4tImf5p8b1WNk7kNG+3Bw4e1LL3nsJ0R8VF4VHqAFADtcIHIhqOV4Xua6wS4M/dBRcWt9fNrBI86
kFfdXdkRi2kCyLC5Y58gjmFo5xe3GUSGhTeNR9F6q2iycFGiCxmTo4FOCmlWd2O51a1hZS9VjVeZ
ojpo7QNIU7t7zyS8bHjQCiz3rm80FmzWiimXDDQaCcBwzYcEg07oJsiLWUb1ItR2pYBSLXENHSL9
2tYcPEPRDYyJubeFv5sfeeQFniaRWAszFHDTofr4pXVTGvXZqgZ3Sa6RbTemdQulNC5pa9drAaan
d0E+Ds1Bb8kGB6RTKuULSg5YPRJbXfQVCpLgUnWHr7YnX56mGvtSZ08Inrkx0gqea9O21drHTCUE
hirSzEjfKhC7a89mUcJCsYetMqcB0ZOKkJ1Qg5HgAKtfv/5Uutqmrcxj6zjooRQ4QybM2QhaODkB
zbY59YXZnLQ8ak8EICbSer2yAz7SL2qlGPZZbRa3sakkt2yr59eyIq/hP6JTxGPT9tGC9MNAW1aW
Wm+/N9NRGbo1tobltawCDkAewjKf3weJ+yBmHneHtTXVxS1xmPIWuNhdoSLeIasM7F3Ppafu3jrM
vVIMTDd82nD1PhCBdFj6va7sZT/A1sPNUGJfP48qD3BLdiGEStLWfDJZV9t1swRhZyHj8lddGrlL
DVGfa9kD7a4RtEtMQNtK+mtz6L4f2NvduKbor36rN1kbIKXTk9D6q79W2qhYmEfypPr5vTrFWu0c
gDCSg8r6NB+xngqtC3uRTaGX/iXG0/O+9AFO5UXfXMmi7eXJ7AE3raMhbu+9KkgPekksUQR9y5Oj
cW/wQFim0G+apXCGU68y+cpTx8qrlwFgvb0sxqkXbyE2mKu3gQO/P+JVSNBsftsqRXUu0d66yrdy
veKJrIt5ku/UR1g2Tr4bEJCge9+W2Y7ttLKUxQjm6an39IesVPgcqnptlFp9J8fROJNQRlUe5UCW
ANRXCs/fyNYmtpYjmF5YNWl+Iw9WWlabpOKnhVRWGC5bO0fros/qpWwG0Zzf8IbRrsKDmVl87pNF
UwjqiqTW+zhJPQ7sB8SWIIW+aRojuibEHm7yfkgvpOBn5EBR3CBR56zyIOpuEyQ1VzWqCndjVdpL
H/bNPWuvahn0dvrYEH3jd2f1T+GEnp2TWs5HMVhikSpt/smsildMZaFLVuLJ7eLsy1AIaIOx8VVM
ANlTN//WDKwoMnIqZDjyZacWTByTevEHVjSL6ki0CkhuhgqNacfAD7AmZrnT0XvKtyG5kFcSEQej
mcqvaeXcOCD8P0d9/OyKsHpR2ROwequ9Z53c7SKJ03ETFQHWKJ5W3mAmj65m6jAFzYbLsi5ICiiV
k8LipyvLG9mgBZrDJOEXa1mUDVVEcCgOUoXlDkO99SuCYW0DMVvJYjMPkDu6u+4GF0W9H++B13MO
fJo8mtWXebicKkfdKIaGCvHcR47vkRPcDqXVvX1U2SBqv92KmpyW7CLHHxQVnH8Xku/PS/BsMNJ3
U5dgF0kK9Bq3oGzXllaMJWgRnviZKetGGeI7RAyiZaVZzacsVc66VfQBOeKbyfXDb2VmvQDw9p56
W3exQG6gzfZOSlTFKw+KyI2Do/fuhs1rx+8/08mLG93H3u8+WjlSLqG1hj3AFzQl041wCvt5sPV8
GQT9dOtpUb7x7Ay5nazurkD3u1tcm/1rbE3rlVEm6iOIwhjBpPBSqsmtmHT9bBQZQguG3ZOaIBfY
JmF55sYhURTkyTlh67Q10Fo4JYmZbtsSlZRUkODKkn48JZbRbA0BqkCYJP9bU8tOWjvqW5RtgpPm
6faWH4pzTBKIADkTLr+yKwHoZFtA7d8ZVhzesBphSac59pcgvUJXwv7asA9f1E0w3squkTUpRGX+
6jp09W9dDWjOtyoe39uusZh92+QO9FR8xPts2/tom6K2TDhD1hHw3HZl0YfrHrvQVVGpZP38/ibT
a5yVY39a69HU38gD9rLO0kBOYiOL2txP62DiBkZhbQumNoy7Y2LZqPoEez0qh7fzwpigsqv71RVJ
8K8Tbn4IVRHpB+t/aQoP2Rt4SuwG3V2OiwoYyx4yMLyEGwNV4RWgnWEt6/rc9W9Y3YPRR3GTnBD9
ZJ3TG6t+RJ5JlvrQz85IlO1kSQ4EP83bxbjnAWdmDHmwTMvHuJnf0HsdeM6KVK6t79sf/ch/rHSk
7a5lVeG5Akm3apdXWKgPadqsVL0HXUEApdkoscl3hx1kuIaNCB9TmRJiWXp97fBYAAgwVxKbTJZv
5bqsEOAjjvvWUxYRzifUNB/eh5ANuRU01zYpdTSnXWRg+vpa80d1JwP3Qkn5ENyY/5/KwLLVnaIR
4pcnyo7yIBvgoZIOnk+epgL4eOLZ+2DegJZhZZw74j/XQVYCa0E18BNRw5okj5Vf9AKhCmuCj5O3
JBwNR7wKPfduogDijVcST5f1mePdIfeh3nnzcrcsocUoYUt/kR/yAlUoa8Rt2h9FuZb1bciOqG+L
J7I4DuJEA/aqManLzMJyVgt75VA73E0L+bIZcS4VQ4eUuaUcZFUVJ7TK8ttLWfve3nkQ19JM+fZb
vSz+VmfprrbPymTdu8RQ8b0aD6E+fj+oan0TtfytkwlePAsd66MWQz5Qi6T4RNLuq2UW9oviiMdG
05q9aRvm1tXicO1lBqofaMA/mrlG+gyGh9Bd5tNAQ5epSqMnHC8xNWbCBJWhrGtjPLiobPljbKxA
hTP/ieE8lmX2OhaIera1/jGwahUEae6yY++Vq/5pp2sdsqIqqfuF2hvBzs8EW+sGaperZy+Fpz3j
T67cIpidH4SOzGDkTAAShnZTZkX61Kkk0UYl1TYKFK5Ptr9kgGzdPnVVUFxpZZVuVAhi+7wNskd3
HPcEI8WL1hs5rCffP2RhF9/6ZvBNvt2ku3yD5ZBfO3nWnf2ALMMwnzB/DhCU5LRisIHCDswtcpKf
YyRJT/JgiKE9lWYLvNZykThQ2KWXACRPhh6Zw0L2gcs5vwSmDQfOPHwv/hhCds+K4inL0nz3PnRq
AAs2la5ZtyXUgGGY9ui2eGdZEgkENKdD9l4W4woUC/DUfe/WZ4eEYLOviYCADlOjZV4q1dPYkVeN
hVk+OxN562hI65c8zZ6AefRfsGg+taxHX+vOhpIlAhzs82mRu9AEFgob+Tkc7QXwW7IBhIwbmDPd
PoMn3sBTnsXlcqdEYU7XikWEtfRWFt8bklTJ8EEGZ9kR7r6OHpUOG3EDQeqja4elt6kLIL79YNf7
0GivZEkeZBdr7ieL5cwuMvuAeFnj3ESDquyFC68rg6XOLr1DREGHfLWK5mbZp1J8dZmmxEQry6IP
j9UvbOmVq7dTdC1dVnpgXb915ns6azhLWJXl3EAYYpAf7/F2fu9nFXcW71EDKTgMRdNvlg047Nsg
ycStP285IrUCq/Ojzq3bZpUQAgO6gyQczBX9Uqmueyz1uDrCZXliT2zdq9Cq0BuzL0XtICkbgyd3
uBGPstFC1X4FDqTYqQU4waYziq1wwLumjRE8RH7urIsOcQQ9HuBRQe/EPKeD6jZk9v2UgrLx8kB5
3ZBf819Fx5LUqBrrPmOsNQDZ5DhYRrgq4hQCEUiBO6KZ64GxLoZlWHdT5RM4dXR2mJDs2Jsj6m6Y
TbyQrY5BpnNsHP9Ieh6B0ShKz0VtV2cHxBop9Cr6XDrZVSVi67EyCgdORYAcyJRFT4VCAGHu4Px6
JrnUmqC6G34GL/J2ps2MtSzGWr+QWyLi7pTpfZ/CUELAM7qJfR/dKK3JSZGkzrYfbf0Q84wADpO1
ZLTj/Mj81mzHTHXOJtdn7SSJcZOn2N9FquLcD7NkEXq8i7I03W3d+tO4yGYPhtYZtROpzpTAJapb
c5UAwX8q5sNbv6Yyc7wtlO9nyJZmHHFI7k0fC0LI7eS41yAS21vbaMO7wkazIkLobS2L8kAH07Hb
W1b2MwsI4aH3DrKODppJOJAISL/3vdbEmbYLDrZIq1Mf9tk6ydLmUY/iL/Kr1oxvkdWHX2PuVYLp
I0YX8zkuUkUHcz4ndYgpVLFZP07GnD7o/VdTvJ0jvFRb6G72/ZzSBpeSpOIApco7aM3oHUh5kt/q
dRISZSyCTcKzocINmyYhm35/ySLYWClttEmHMmsxKTDh8eGqu6j561F5xkd9DBBhWFiqy1HMFe+H
Jo0wAAb1ej9BpF23A47rdTQYx1zoyTqyYuUJkvx1z1341Yq6i1n3xhO8BUFavP5bVz9rr+XS1QyH
S+FF37v+Nqo5qXis52VCGPFFr4TxoPpVcR90PxWi7kXrbP2tRfN+avn9nMIr+m1d+YBQprLDWbxW
B56xMP5JiKrmWr5MNAQBovlQeDEKk+61im7XoUrm/Zp8KdCgVfBU/bVWllGGr64mg5C1NypXwgoO
UEbMbUqq+IqsvHIl6yG+EzyVlVo2uOgiz71J+nliIXu1ttZaO9mhlrXypTyUrkWuzGnjRYFyxvf+
smXUgk+tV4WHkXn+EvDT2KUDgTktK8XFF5q4yFesQh8bkqlX7/WDH2g71yBxL0/9tS9o0+99G7R7
F2gctMgOu8FJHiyEPrmPMnPtlBnaJU0L91u+fO9Tj6Q7fu8jm23VQqylw1gmAmYY3CuIvx+EaFTi
0/NLXQHxJV/JQx3w7AKeFC7e6zrdHcvTezmxp2QTZ+iYyZOhOKLU9Ns4hCtJ0tS1zXTlkiP7aQwW
Ts5SjIMKvqaAq4VcX+dFF4QMxCVQQ3Ep09GBI+4bK2/Us58bdk2HgN97bWEYzopMq7GSJ8oD0sri
Uu+quaesqHvwYTZLji08jQynmaeJdOMJM4RyIYtQmfJtbaC0JIu6CWVUgat5lMXIjlY8IPX7wtP1
S5KZ97K6j9BubUw85OJRjE+1RqqXLYSzl62KpV7jpDndYJRt3tViehvaS8320MdtgZ4SJ5HxGNfo
CrEfnT+WlqImmFuKce7xVXrSfZxJ/v5pzfnTsgwLN2SShqf3TyuHTPi0WY1AcwlLfyuV0DMeF5sm
D8BFz2Lpb+ros576e7GsQ5hoHhAa2SobpiFlZpflVBXPqZaKnSyNWXlgqoTik2prL2atCy0wii5o
uw2rmnj2eqidEShTmC19hArOOUshrJN8i/RDhXyW7P12omOEYKdLd/b1iC6WUkcX8GYBW4v+JsH/
4oiA/KFVBvdJ1Xn70RtgHXnepeySh3quFh48myohnd60ifs0NEa8JBAfHWVrY8d4YozJY6CBnm5M
LHaGXnGfKkhjG1HFw0aepes94cg2js+eknqPU3yUb+kqnXpE6ZUM4PxWfhyTyK2EspXFMRmfJ3xn
0bCqi/s68NfyLb2G3Jg24Xzddqn+aMIaSyL31KQGGQ9VhVyMkdUJp2zn1JcWuZdYs31woebdOKYm
ckM/mgcFDMP7KdM0jUyiSOxbPFoNC9ZJ2N0FYdvdYbRE6DAFHOoHFJG8wUCmH1/ee2it/9DHRnqS
/XE9qbdGB9FSFqt5wDmLO48lz+mrzFqiKeJtPcPaNu1YXQ8Cvj0LAKD2lcKvVUUkszXs4Gt404Zd
/hUPpwycYDB7DZiwbafGhejfxw+WXX/2DEV8TXwd+ItdfjR0q1w3KBMeiUbap2LSSjyQPOdTrJQr
2bV0yfPpvereTinecKMa8SSxqv52KrxuId/PhqSYdnb54hdAFZVyYDGmJNahhlS5ziPbfQI4cJJd
m1h/7lwVDqJua3woIjryb8j9vlw67KP++hsS9lBvf0OesaaSf0MFa+ghEuVn4Lvdxi8Tc5OqybQD
HJCtdIQ9HmSxqxKx0kNVfzCb+nvr5AXGT0U10csdSaNsA9uZPImhxI8qPukrdVSrM2D4fl9qSb1D
NhkdUSVKVw66eR/HsXsCAm1+c+tDnSrTa1MyTSBCHkMo5+zJ86tzTTwzbxFc6A3x0mdluEUvK0P+
Lu2LI5E5LKPmV78VW0SesRk2myX7AHqXZT/CjsAG2m8y+5xqxtoflOhI2shdpsRd17K+dHWwQBCd
xdGw8nXe9FhGBC1nGF6E8Ys3uG8D9HvDMXHV0mZ7PcdRj6YJFnQulXEAiievxrfGrgq1dVV1KBLM
DbKLbPU6PT+QQEBFPyZBhRLYJq0C62QS3zzZ80EWw7S3DxPmkrIk62UPLSN/RNLHQZlaxFDf53P7
HI+j0Mo2Ia43SynADtP1oUDo/y4KAEzWGjgLKYTuTPWD7bnJHen08K2+SJ1lq+n1J9Q2YJt3X1Eb
5xkG/OUmKEx/FyAdtHXDVNwlPUmORlG7r0avLhGAbl9UVJtWyDhqZ6RTcUBr02gzlEr9WKnaQ1Al
PZI6GGWNwnuyYjxUYs1Jjm1R9niAGCOq/WNwYY8BGVsEN9DK+6OhN/aNNR9MHdyild+McWTPimLt
CQjmAf4fWMvKTKq9PrGseO/f1nW0URu2bLJOntaFoPDHqM22sigb1Kh6Rbbeunrv5oCkcuo8u4a8
ad+kpV9fu52yfO+AsgxLs3j88j5MbTjltpkg9cmTZEPbRsMqSUMfygUDyTqtEQNm11G2l8Uu9+2N
iArQECreOF5gPbls6Q69BwhAFutxDNco1ag7WXSS/KEh3XWBTOXfwVDf1E1rPRVjAIHNu9WG2DyR
ukCCP1C/AcNSt3FVsKWRdfIQRaI+wrmCtkxfdcqNjT9Vxb7pxDNYYKjnnq+vNNWNb/tRWBdT/9wS
W4A4g13FHhkzKK9zY17lya1qRupKJTu0lnVvDX7xbIy6dpAlpBStiyc+y+6yJrI0dc+i9edx4jRX
QUU0yrpyug4iaVM/B3Co3sZgcwFcu5yeIb+4y8ojMx2T+tfmCShC7/XuveT7byU5Vw2oXLy3db+U
fpwnJ7kfPeV55Jz6O70nVz1PgD96vr3f3DYL7vyL87whAP0Y9PugH5MTzMbkZCX+bZuN3Q45luT0
Xi9fvdWVAwmzHmQD3d+rRcVMv5Dleuq+pAHAfPwZTn5m5Sf5Sh7qckRTRU9bDMT+avA1NRp+KptO
tMvVILuKe3wo34Z5H6GrlXGtxbN23zy+PMixWBR0iw9//Pc///fL8D/Ba37J0zHIxR+wFS85elr1
nx9s7cMfxVv1/uufHxzQjZ7tma5uqCokUkuzaf/ychuJgN7afwm1Cf14KLwvaqxb9qfBH+ArzFuv
blWVjfpgget+GCGg8Vpu1oiLecO1bicwxYFePPvzkjmcl9HZvKCGZnbvEfq7SuRaW+hdxwMGeK3s
Ig9uVrpLUYH3LRdK1HssVDAJSDdBnJjnarKMt0M2aWeTqfWK3DDXGrUk8wwqv9gqWtAu3vvJBnJu
GGjmEZLJRURQ1BK7Urj9yRLZcJKvjB+v5h4opwiWceBOQ7YmJ1/X9k3U5jdFBJTWN8efSp5Q91bo
jZt/f+Ut7/cr75iGbZuuZxmuoxuu++uVj6wRHF8QOV8rbFxPtp7l575V0zPuFvNr2Ns1+Y25plxb
I85kwDYGpEPmw/fquPKQDSxr/6SQ3FxlpmoheDPUN17kVEgoUDf4tgWcVO1CWH1/lYu2+lKmVYv7
TPhYAte/jsiGP6r6Y5o07YMBaeo2Acsta922iU+aD8VQFlONpMpgKIjnz+dYcA/WQVpXkPdb6xGs
RbqcHJEeZKvIk5/GH4qfxlcMdd+3FURLX8P11PcbxDrq7kT0+d9faM/424W2NZX73DFdDcqXaf56
oVtXuCxYA/FKRKRHL4brJ69wkHlcVAspC4h9qOXJa/ze3OfIotZCXL31C+sWpjA6olehOVVHwjrw
YRNuuMweW0wz58rOnfHD8qXvm/NLR//eq7Ds165k3VUGhbdHs8pYd24zvTTNYqyJh08YxGzUTG/3
bWa695avXWR7xi6HiLlewOT07XOFvPGy7tzpxa+T+4EY8z1zwG8DpsAPblXPAGi4HFJ0SydruHSO
Ex7bvjjJEiKB4+V7fXfB5xkFvq4Q/qIzUH4E5mKsfPO9C6c2png7VVfMajWxPtnlMSiPEOkQJOyj
4Vb1y/tx0DQM3jpiSW4z/y2B8tFx1mNrqc8q6v87wEL2W9Eeo7OAw3pnuJgERbmVYZjK2f9q1Pn0
ykALQd4a//3L9FfL6fBLXoxVFITNb8V/bl/z80v2Wv/vfNaPXr+e88/7POPfv+1yir5UeQ2S4Pde
v4zLu3//dKuX5uWXwlo0UTPetK/VePtat2nz1zQ+9/y/Nv7xKke5H4vXPz+8oJ9FmBVz1uhL8+F7
0zzt63A8eRD8eFDM7/C9eb4Wf344v/Z/POdV8i9Oen2pmz8/AEj9h2shle+4puawUXesD3/0r29N
3j8cGwapbfJl8p9Ok0ABLfzzg2n9Q9Us1yL95GgGjgn6hz9qyDpzk/oPNJIMy9MM1bU8iGgf/roA
359jb9/cv36uab8+1ywE5EmrOZZhWMSbACqrv/7oeYSVUBmCfD+qQXrdqWlz6898dYDMPfja1aQh
Mj1iX4TT1TekD6AGpL37dn/9cnv9/HTV5qnl/en69ilcj0WU43IttN/n+K5WFeT6NLHH9arcoNB/
13lI0XejRgIVysSYVacKklgHKM1GZxYSUvNtHIpwG1r40SMdV/2HB77u/P0jmaoJv4ApUfcM97cL
UymG7hSuKvaQyzuogEzkajtppHKcr1kTq5d0aAkJ1yAajOCzaTk5wFjbRg0HCqSl3PqC33OLRNvW
sCyfATKozR4Jb6EiRQsZu98WIJCWYGSCtYua6Cp3qh3I6F2va/6VgtXZT3fmv1jCyCXKbxfZUh3u
NpcbytXM3x6kpYIsP5plYq96kwqtcNBA1ubVuoj8pVF45o6scbStk0HfaYW5TWB21sbSzpvi6A7i
PgI9c00e9smHRLL+D5+NW/33GwAdPNcgCTL/SOb7/eflVVM3cUUOOds3QU8Oy171IEr34FnHbcB6
DFpAmC9Ho3y2vLa5Si09IwxR7lM7HJaGn0zXmXKNBfd//Fx/uzFtjR/hnHq2PZUv6rdlX6wqQ6HX
lbcz0TJpBAAPtYXSpYwVkAZxbEC1k4f01pMm4q0e9I9F1uegzWHMTeC5kcoM/8ONac1f0y9fo2Op
s0SQ5QF98JDj/fVSjTW0m8AfWJjHWr+xcDs42FUGTs9VTl4aVXcz+kY3gpuyT+N7MT9GLIyVJlyb
N1nVDQvVL4azAK2yyMnYrbohNcktBXsomeoTtl0LuHbViaTMBAlYAYCcmPc2j5yj3alX5pz30eLq
pA3XsWtZ+0FB3wfp1GkVDcp6dAce2D5mQTPRH34PcqY5uS8EbBdVUe8tI38Om0ZfDAirL9JY2+G8
zBquUjakD8YzGDBy5d+iuNTXaggPb3CKbuWY7D0bpMXXtleB8UMhbNEL9DpG3b3/93eiznP07xdY
IyGu8btXPVX/fR0kMs8NYgixO71vEaCe15iBfwAPCCcrNqp9XCIckOD7c2EXgCu7OR0mPKouMWt7
pSVCD6QgAd+vYCzVVa8VwsQbpAJw7YadFiKoPoyYDiT+5B9C2NxFGUdbhFI8rq++smyzX9kIxT77
DTvX0PWW6aDX2xxOzFWvm5fE1e+9Mez2Ye2oZwW02lm+SrwguGrs9tJ5uLcZ4WgT99TCa3lIQ1yU
fDff97nmr0ErHpxa3PI1tue0GYZd3VjafWeK8Sb0r4eFQ7CwybQt8TTtfgJMn9RVeA2ZDA75qCpr
bp4JrvoKKFkKPj2D76OCQdS0IljiIlFuQrZb+wL0g2lOyanxiuQEPXhsdbEaBi046XhpbqapTfc8
4Faq3cYbftzREtGDZBeOtXnEenoVHxMtb462y6dH5wAqf1RjsxQEN1n8NCp1u+PRBjVem8aDqDrt
jNKvjkDu2XbUi2uVyqorKhcSmfCOfVhWewyWnKtUJZWj5YW258EeI0Oa4clgjvlBc1vYaKhkH1u0
iuKGsK4SmgPBuQI8DCYZeIC9iK57gIXq4gbPd4T0VLUsQ2SunL5uNoahPrMFwuewBG8/9JZ1jBvU
sTLlHBSNgKuSYt6TIehXOtGN07iHrMmMY6gl0Y2vdNGNGnvhIlfLs1GhX6MopXbXYovLzIycnT3A
P9Ht4Ig2CJE6V4znHqXFlW6Ow6LF+1h3YnDXgQl71I5AnhjojLZF8ylqAnGsBw1vG6+tIWGjvpZY
w9XouP3SGHnKQ7nJ1m5n6jM/Mwb9z6EeVcSR+/CcTA5GKBqKV1jPMc26wy22y+IKyk90PbBj2CDG
VizRXImgLlXpHujcdMkFClc+3oJRFEf7cmxfhqocL22msMZuskcvSQ5T2xg7JGqNW1MtFQIJJusN
Soap3otp4CJruXc9wiiwi9q7stJp3waecy0PqMZFe89Nw4UsTp5w3xoSi7+jgT++lnXErBClmoph
m+n5hEc5AxgeaTbLFSZYI0T5MkftlkVQBzfVfMAqGe45Wi8LWSTER4MRwvyq7K2sMsFKBMAQr2oj
Q7jEc8OtricB0h2hsw1Qc1wywSgoBXJQY+sKje7prM49Qldtd6nb+AujODm1YV/kodG5oKM5fpGl
rHIn1B4jvAc05mbspRddFKZ38jBghOqyddzMdJEF0I4BDZUYhq7TIPhBWP5qGsri4qUg763Ba+4C
pLx4wE5HRMGu4tbwcB9TAfj3dX9nIHKo5cFjgXz6DnLGuGvRJUVQsCZM0BbxQvVqBU/vpIWMBnB0
8Mvi2YWUHdlf+yiJHpqRm1gFZwHd/BEyrAe6JHP2QOmiRVviiVoiYZjmrXepoNg4+ic3M7oLTF08
Hx5bkkiELrZOGFY7G982gQ7lDum6auF7KOG3XnrAtwul8dhbKyheWG2fYgVFmqLuGxAKmXVs4YAi
W1hVWxCnoBMc5AlHwMsLj6D5Ns0S1M57iJddDHRcLaJvOlPbhmw4NNoGbeK0Z56odNdeatsJy5hl
aIjZ3sW/CdPsUwNcYmMy+e4yVE5F1boIyYIVVny4CGqXbYnimksIRQ9xg3ogU1d5sUMB4L2/J0Rv
r/tg1jGxQh91e/i5EPyhPpJBTsMIzY/5apJcUsBVAdizIMXA4MIHJH6y2ra5qI29issieJufEPo0
7kfu5ar+6Kpgk3lSnTNwngcv8qAKu8OdY/fRtrUOA/uQ7ZRSy9IdqS1jKK76fvhk1ibwpag+t3oP
na5nkrBdd2bWesu66DP4fNMudN0S5edwiUqbeA7S6c5G8+AYBbW3FgieQXeuFyps7rXqRcoVoo8h
WvcIOmrZge/vggtbf2gC5wIPd1gkqu+syzGBLB86O2ibWCFokMhYCm8FFlv/j7nzanLcyLLwL8IE
bCbwSoIEbfmqNi+I6u5qeJfw+PX7gZJGmlbsTGzsPqwixCDZLBqYROa953xnY7tUCPhp834pUGZP
SVRttLgE5qQZ33StVMxX+12N+RArV1+d08FKeVUXXybLOHexi0cg2llGSX+iH85lhRhjWQ7w0Gx/
NEmTdRPoNVZS3y2UOPYsyPJAwl/Y21p8WsYZxenwKakgt7hT+KJbCHYz3XnOotnHzkn3vjO0t6iP
XB8SG6C/QUK8i5YHt3lUTor7qk2ivawnEix7E69K53JhHZazO6nsGM/TeiEw8nu9cMXJy3GypekW
AywxAGi7T7VbMANfzWJzXXmXeJ0HFNp+6hx1QuznnJaWrrwelYCwdLciAxpGw8Hq62tD+tGd7n3E
o0VMSGh9ZlLjHDNHfSRpRSaULqyj1nn3Rm/JkzMvaleKwqEGBQQXy9n0JOwF+520uRy7XQOiIJOB
TuXwQfXQXYdS2O+EAtdfEhm/DTBuT6AZIJXbdeL3CGa2wrCsI1oqderDkxJUHN0WJRb04+yoN+IO
BbwkamZTthUwZ+IPIUg/GISOBZrn13VdHRuvnmFKVeCV0zTFNh2q4+3La11EWm3vXSvaeSe9AWhN
aQ9A1Mrt8AqoqxEy9Nh7QXuvGAbgGlsdVgVmywDOk/RLQw8JSky7sfllhP11OLvidtNCODtP8USS
etrDMmSO2vSYcz2rIXVtUIepRRuh1cdqqAfMIx/KgTE1Vu6IsUT9rBfX2pDQvBxh0xD91hwpP2t7
N6rUIa8s68RFrdzZ7LytZ7T4IyI8lHEmwcW2azx0iCxgqPHuzPyELCkKnPGVRoYzR9P6Hl0YliQI
GU3AEXTEb+ngNUux9wOt2lmwUKIxo3IZdVx7Is/bj7m4FOiCQwzkF0pqub8oJ/P7Vu44TEy/67ZJ
Kj5yO1ke4g6tupRHs/OQ+aewV+3ZPfVI0UAuu2mQUKvYDPTlW2/IX/rR77XGJWtTNedx9GUVWy+q
J3U7Aisw9dWncBnrfZd4L2aPnBiGht/jnwAz3lgbxg3yBwQN2n7WfyoHJF44y/RJ9bCA29l6HwbC
ahejqPeGBlYn1oYReeoAHivhc3KHUxcBAJemLr0TrWRuahXpQYsntBzrw74fJtSL7HEB+ZdilnY3
IP577gsgiJq3GxAIXzGdjOdaOANoPBFemaaavjSz4rMRhw/amA4flmyP1B6u0LxIK7BhrKmiFGeT
WvTZa/t+pw/maWIZd3smGWlmumY+b5rFynZpngCpuP1Lffurvj5jCrU3diHjbV4m40X1Ue33OgZ9
sJ3jWUgMMEnMMglLPQ+18IdH8sB+HGuilp3iKzwL7TxESYQ1kHu3G8QEsT/qwNqcCJoWDFtbO3sp
MFtzwOy7vq5NstPUdFowLd5P2ZG/hiyXiN2UDBpNmL/dlDl7rxma0E8GSZwEyy9w/ZvUd/SKHPQl
+aLjkN1r+p3Bku7Rbh6mXIgHDYLhWOF81HPTOTRUcHCzz/XT7TkgwjiP1IBgsbY0ptIaeJc5BrGY
xVswZeBL1kcYRDGH4zja3B5GB6eMuj2HMXgoUSRre3RF/yjrEci69ThnCSbIXIGnWGY6GFRbjnRZ
YxBZxnSnj92l16PmGXMx4DDrSRrAxqoZs5dt83WUMpoLQuhXrOASDAaEZxv3lK3X0V6PYuOJVBL9
KRbG1obJ+RB2WEurUWcFZkZ4ZfAYmoSx6SOwKLOWB5Yb1cVl/N0Cr6k2jqbdG1jYT/Oi66dxqRba
ketjWQM8lHbd+C7F3pQF0lmbXSA4RY7nnSLaydaiJ6t3aQBYk3uu42k8DUzs+nFaTrcbMnd7GNT/
fBzTQOV8mzCZsJ25ZM7iIzHaeSeMA45XyL0YPfO6H06Sk+jMvBzODDGvRKV4Pn+RnqHDKuSfzZ0Z
LhG2FOezpkPDyiVoduYNx6kU0NwTqFUILC5mn39WlfgWKj06a7k66F4qeDd0BhVB18scPeojUpwl
uVOK5UhnvjDDO6RGfzclfNXZwPOXF2CFRyu/dFwFXGek9zVPXxuAw1vUxp803YYDr+OnT5MXgfd7
o7CqMEcbQkFEOp0pTkHvO4md73KRh9EdXrUy7rfD8qXQYaWKEkRlhKkQk/vQpVVQToC1YzfiKCXk
wGjHQ2p3j0xOPsXrFYYMvmCu9q1uNn7doPlPj1F+NFX8kJUiDGDXA8HE6WuUETCjERIRbYILoPHj
KFu/bYaT3urvVf/EPB+2ZzPT4p+Y1RhKYkS0QvxWw3QYbDsL8kFDdSg4pxrgYIleqa3u9h+2JsHP
Odn7hIpyo0uXdAGBJ4OU3ZAZuhvl4kipbTsPuZ9SUzrR7FoJy9wUDlERMQzS1PtoF35n2rdBY4mj
QaNmZ9vOo0gmb9MpUItwVTdaWbuwnIjYHtxik1kQLOrUPKRCe9KARBPeMKAChlMD9ZVJ/FreKaAl
ZC4dLY/wHeECNW0nzxfz4m0cfAybCtwLEM54mxAyDrzE+BmyqYkzL/1F47qtGUwEuqx5z75YaV08
gABsoAOvnhQqyGW9dD8YOO4ZhpBMWaZ3D1XUAb4qm4NVVD9HB5pNmALBMCbPeYuEdecRpV6RjkwF
VBDsnMN70b3YQu5Rf1Z9kp+SmiWw7YXFNgYYfjEb5Dc4DR4zuc6+SvU1Kav6E7vkCs7kTTUDohzV
vAPnR3MmmiVoR/zy4DDCbUL6PK4J64lFe3a2pTFt3NyiYIb87Q7FmU+YAuCXDHtv22lvZOBRYmDV
DknA3dU1ly83rJVvGiC9QhXGhy4HaLboT95yh34F8aLEvZkkVAxBWRQ9gAFbSMmiXJjBAKK8rsLi
MuQ1wqH+VTc6/YIVpfY5hFvWQg0b0QSt13TqXCubRGuSYbcGypWjh/elpHC0wW6xhm0hOlRktlDM
vLdyQz7EFKhLTTzASUA9oL/XOpIqoJr2GY/tfADFCaUt0YNscB/1RVyX0EzIQzaQyBg0+5CsOfts
xPmByJ2i8kGDreBTpW7uqyZ5lnCrNJy2F/YaEBhwcGcEuRJTOCXltCp82S/ibOMQ2RzllDV7Y5Ar
Z4XrRqSZr95KjGaiAIs9Gv2s5dvndvroCqAbVVruaVG9Sc8afdjOoAHnvqFQjR11IRrLN8bs0dA8
xq2JnDEY+Q5EYfAyJFq04IC3cOvcjRU190PV3mUasVExSPskm5nTJnoYsixqDmPbmKS2hC7O4uOI
uBcK6UI0TD1ZJ6OvuG4WsiLcdXl1Hbc+raXrZXu72xoJwV1taG2Srv7q9nm4mfSXqvT2GlowIlda
1zjVRW6e4po1ZS1tP2++ETLwDYWzC5h2BcYMpuOebo/p+2+mOImPIqkJTFtT06DtVKfbw9sNESdg
lf/bfw5rMon/fPUovXZPXOAzUrDAAFbfDOKLzEBiETtiip3Q7H0xl9lhgJx3UOsLqEydlgpuQAOh
U8F497tYNqfbDbZkYz//QPpwtHRwnFp3CfM+OaKyZup139d0a/pkeCzD+pJ5qXsqC+AseV28z8UE
xcVqXQ77Xjst5n1beKQeLZqL9QEhryHiEU5KujyFTbE6TRawGGP0KAPVhsVzIodXPCpWQKwDaYUO
sW8T+IpJKfM8G8gxg9ob5XOvaKt4AzLUqahevHCuXhZJGFxE2MAwHrVKZKfRcue7eE4a35HwlZCv
bgBcGmyanATGWD9E8EjYcT2VjLk8Ir7WqGh3hbnRJq04uRbprV5kP+NQJIosO3nV8oOdDQ5k0Jyj
PaJDdc2UPn89fzbB0t+N8WIFuSdqFoqYzxeuxqqtWAHOtj9ULmXdnMpKvxqRnLS9ulVVnpu+DDyO
ZF/TS49XgT5BSgzhst2Z7pJ9FkWhzvjJGC6TtsT7szQXLBF3llFpb9gux71kjnDMu2h49DSP6Ahn
6b5PWRzIpQuGpbOfaWxXAadACcc8Lt+qctWbp9p7H1K9QxMw3E1FnN9xiWah5A27msn4mjPxyqpr
W8nJ/jJE8SPMU/lRwOYaOgKgGWPu85AAmzJCB6j0+dDYrfhWlJbL0gubj0TJdsj7+MmbaOgMYKO3
LKhXN3ubHU0Na6os7OXQh2Csl5KhY7Zyi2sLySsehUkoA2mgw+ShxEG0Y4kbrIt7cReR5EE9sDJ8
QlK0i1QAZObWs8neyX9aTXtgQSmOosGOEMnyPjMG44Vi2ymioMAcxZvPDiu42ariZ4Ucb7c+kg3t
uL7o5F1HYxjMJ0ZiZffdzp4B4LBGAOnFKjgi9mibukMFJbLbCkyHfs/M/HGKrnPqyGtK2CtsQvFd
ue18dL6WU9fd9WSVTCRuJI5unmurZsN4hn0ccUtB3B3QHCtS5uACXYwcZYjUJ4iqdnVkzLwORto/
moXAc8aU2CZSqaLi+5DqwCDNmIuUMWFFxbrTt1yM20h3/cldfrRNASgxxK+vUVzd0Lcq90KngasU
2n+Fw05OSXu13Gz007FnlbAgU81mdej7+Uscw4SZRoUici1LIc4JaBuJJ0N/bywIRyWc+WDo3M8C
N6cfEy1wypMFHxZcst5EE06aAl3PaHlL5qY8mOjZ2FvzEWQAa6CMBLkSdONGEk638UhFDACiLXuD
A4whggS41NsuGdXhtuL1saU+eR05cyAcN82s9+ch7y6UOZ3LhIyiL+5LMmQe4wV0HhbJ7qohxSxs
LmlqbKfAmb/M3njnlZ5+ibJu57B5T3NSfoaFOJ4HIc4pcXbw+sdPEWSkB7CjFxmDUrBGzLv6RMsm
mwVkUKwvGUKVbImwAlPajiQdG3vEVbQA+DijjHrC7ksl3fnRWBPsThMaWaQx2U7tGZtqua7Uyd1t
NJf5MWbR0ZKBEE6EgrT7ro9zfF40B6DpMFWHARN1lwRFNfXXuBmIaI6opGkL8nTXCaxZrfzsmti/
tXJABJTww45IRy9CsCXH8jhkAGYTsrMOc8bmwMp+lxSu/KJeZwZlJ+zuZ3MAhzVkz9FkJneYPsxz
1hm+aGx9N80ehNO4RrenbQ2PVSQuC3HQSE6MZxaeMQW9se/1YGlZ/lMqrj8x2jML19M9JqDya7cc
5yQ59aSKAqek18wkqRUbHY3VfRIxE5J0nh7iluEQ3ah2SZXGm5rRw+hQDJjUcnXt0Dj0bZ/tDRYh
u4iuxBYcBqxPDXNWXLn9ua+81xGncNCYKtwaq0lK2jD9HYL9jLpzYLT1CNMrRHvnKUw/BisX+zpP
EcH2Twngb9D/KyafK6wslzKIIfBRybYNDBHQOiAfzNuY/vxMetqjkQoLX+lQb0ddH+4EsUo1HMAw
7ezLEtXy6E3Vm42B+eK0ANvm0vR2OW6Z7Vy0EQehlj26vIWfuNOyMa00DHTCRpdoO0zgZ1n/n9su
JpPSm8UZmAwxlRSOoMl1ASvc5uqQIHsiozC42f+SWLzphd0TJ2m90aog9KYE77Wf1qmFQTr5ltBN
6ksmR5/p1mQXzqMN5HhMdlwdkML2UUbhBOb2wKX3ZCdEFNd2NgR2MkOVSwAarTeJyYisov4cjswI
oeAAHqItdUoEzeY6MV5GTH9BmK5UreZMJbUAl1Ua23bUfuZh09CfCOsXy3aHew2mseN+0Z3ZeWk1
hS2Uon83Zl8QEHdXmRvq4vThQY6GzhIxDU9skYU6XfLSzbVzR+4Q/Ty3y/yQwtm5yO3iHEdgZksV
kfBnNOV5gobMmnK6ajhCtrGOOCt3RD/5ZpR8wEXN9z2xDieh5+7R694gVtA5IJRiK6CLwwnmwk65
1eSuIl77lGR1DUmZla1YzXJ8welUtnQFoI4Z+2mIKPrJdLZJMYiGI8rKjSKvQh3qviXrY8A7XaGl
2DgJ15fFDCOQel09QtyBfpTmNOKHsns1rWQ8wGiCUzqWtJjIwx6v+JwXjyE5a+W9WiEI3XpzG3Zy
zmB0KNlBTvc0LZmrNx3MBbm2qe3JaK8OotPIwcmL/RS7NaKeeTay+3i9JxPtI8NfDhhvFIcxN+iN
eoOPM53nwvIK1rm92GkeuExjz0pMzq5esvwYpwUrhTimyypZgXrWa6lyLpO2ru+01WKK7F1cx25K
D2OhX7OpOwFmK87emMXHBjH+gXEPtKBnCIqxRRvg7X6PpRWxQi68594Avdwp/UtoLTBgRgHkbTEe
+paFP/bZGg0K2Q5t0pSBrRCw13r+dTTM2M9GjxgnLLR0zYkoATfMfP8kdSt6WSXYyTjN58gBVBen
st8g8vk+x7YK5pDMKy02EeFL9WXSSfsWRNEqpqQkKkUhaJYULJizopOpbpNpA6WzMr5lhHgsSUH3
gElo6VL9I1IExthsUtkJBuwzWPhb7yVd/Tlxtx2Zu4Khpp4wFObJgC90jwD/nhL9LoPd+T4N+ocT
9d8BIFeHEKPoS015mtLCS1JbyWHsKC7djofbkRHqdWAz5djhq6lgbhThkZR5zvMo4Yhvs1dbEfns
Us4I2tJWjyUr0zmG3K5bhKg1lMroQ30dMDlsDa4bG5rx6gIP4IUGOEmXJf2cgbXbnsoWyz7ands+
aZ8GjHVHIhqhP04LdkFVTW+l53xogMLB6OZ6wDzTfF16Zq0AYpbgNghbFV0lIvSWAMjY9xFZyhXE
pQ5sriGrqKSzqVJz9WtJ50q48Ruhvd1LqXv2NbbMt6x5FPT/n9FOJ+CkDCrUZWIEceohE/AIT7fH
utYpC3D39hiky+/3lpk47dtDkryRWSUJATMO6ZsdXtIjSk+5bLM+b063m7IcPxkqy/0JCYa9Jpf3
sqZzr+f6H3cz2tpH2DUUm6vT7cZZV2reuuy63dN7/OYkOVAA55RPfwtNdx2KyZRLyOaFobjeL7Er
biJlpQ4Shfx4C7O+hVffbjyXgIONaDA3N/qxtfofWVfA8QM2kyG5+CPr/XbPyCrBGC4+pdKJyZqm
aHb67e603r1FVTeS0ShuHZxQZQmNgovWaVlvbg//vHFkjBI8o1d7i8S+vcHtDX97qzUh+3ZP2fiZ
AD8foDqrNZ89D3fONL7d/jG7PXd7g4zMtXxz+wq/vGFWI85CzPh2S7quxMiO0NL49+TrisLpKYpB
vY2IMnxQPORrgt9Fwssin95ddbrd+/NhGGtMVMny+OX5dA2y/+W5Px/++fcWbR5ofP985zwiHIT+
YM/UnneI15vf9tztsabV7ImkjU4c/DqNy8Q+hbayT/kYC2vbOQWCDC8LxtH1KB0+316g2d88s62P
k5zqlsAuIs5v7wtHhCPidjf8Z/j57Z4Ru+1OT7vvtxffnrrduOvLbvdIUWyDWVbHP9/u9vxv71lN
FP7sGv0c+cvdiQoejLZW/H7v9vD2D33CCjzPyHZO6meP5uexq2MquIPICbHitMqboj0xL9qYkZUf
b7sZfsu6b/95TOTZflhPqtuZNCV9c7rdDOs9W6zG/CVZDUDjdGrqcjqZlOcp6vHwz5vbc0W8sDIE
15qSLA7jMS/wrq0/JEpJfL/dzFJFu4i0XOQipA16KbiqVS8APgEbuIX6c9U1xWDqMwXkYnVzw+PY
ePq8cwsZWJ6DYst9gcqtNrSbg7RYo2VBjRRNgzg4fjXK8snKKMGO0w5kDrPTOCLBIzKQHcwBEzTz
jPmchGYizWdWeBtah685TMbCTN09GIIfrsd6h0b4q6j4wKJbO4uc0yC6PrmzdRxKnKclTMKgtawr
GU8slRqEelGD+siZ3szGue/MNLpEdrSPYTcBSA4vYSbik+QLbnCWz+03anH0ymmMEuF2zOqQPcMb
oiKAow55uQup/s8N6DIqd3GeF4haMrFmL15D24ZH2MOepTfcd4SoifRel97ZnttwS7VuWIGoaT/7
Ttt/snP1QMUswJ1q6JHhx7P7vXY+dTBLt1Xn4QrOvjNakxI68nuiJEg1F71WM39fCDjUcF+fTBqz
LiEum6h2Xs1Rvmt6oLcFWBvZfXc7+iw4SwnXNugXoNEnKXSmgxObLBa4jCc2UWKEBW2TPrM3IFR2
PTUgAuqTr01CuOTYQ4gwzOlYIbZI6dwMBWvLMHxIXPqJ0cxUvrTDjawJK/NgoRKwQjeHgozrmvuR
AqoNeW3Voyws3QzC4HL3OQdHb1hsuZaV2CkkGwvXbLr2FeJ9Hef0z2HxVCIwIRNtrIIpfq1IxhhI
he7uyopUnIpsGdvra/JGXCJGLQB6yz5v4Ucz/aIRCHrctowgRGyzmZqmp2NFVdI0k6unrOe5I0Ax
FF2PESF7okR15be3hOYka8wQ6yqZrFAgD0qwsxAaL8o3zs6fRud3C3XSFGrbOsE/2hEHl2GYh3Cx
6WFY8Zr72+xEr39jAdFyypoGzoQImwDzw4oARCSJGEPrT3NnkSFaJd+SGsMpmmgfhWS4WxzSb6zC
eJql84NoBh8qQp0RtaQ6tnGvYEqHZkH4almEgZrsA1EK01ZHubPXNTDvXdxNrzi9zP2kYdlilmwG
ZVzqOKeq4ZBGk7e1485+mYDuF6NenjFNoAYoCudlKQ1cOhmBUOuy4fYU+K2N6kfjCZ4gkU6Tg+Ed
hx1Bo861WDD6yxTHc2pTLlgiUx4jZ5IvQBUbOujA2egrIuh0wpcJdfHRY5G4qZqSE9RKSIXD+YXc
xzb9kF8Ag7N8tEW5PMeQlCtFdIQ2h8x4dA4bD40fuhb0ShZtNCoT7fAyTXMKOR5fchsNL7ebDsrG
1OrPAGCSkHdKG+sHWXYea6yQNDuYjH6qE32cLh95ksDPARz6kFiauxmLvVWTe5gWOUl9cllPEy2B
Ripx1kAeoTHrDs5wbhaHHkFHuF0hn6zOkk+TkeznfBke9N58bkr1PdYLj3+aqVXPVnkPDgF2im6M
R9fILEYNhdimMibfIJZ3RyQryYqtdWewsiOrsjsj/H5nvgNbgjIidT+yLMlQHy8yfSvq1GX2P6pd
CIeOoKsXhB4wn4dx3Biux9SpZlqY69dGuPaVpEFYnSZyxQldw568UsGZDF6TKnZO2V9ucaYYxGba
j80w0F0S8OcoV5Fwq32ypkFcrc69TOiuDgsMKR+u5uTjlKh9lRBggxgPeFjffcy5+YyyIn7uKM/H
YVe8ivE8L6337JAfD9r0U2HM4yX05vqaasbTTXXTKKqSSaWfokUdBsHH/3tlsbE6Bv5FuE3UriMt
BzeHIXTzV6vFMpgpfjMSvTLDzQ7jQNO7K0LydWL56iJafCboSPlqmffOKu6YRJf8h69g/s3t4bou
A6pu4FSlEWj9Imf3wrjrUwT9h0JD7hT25r2MGAG0MU58LmRfcpP5OYKAeu9VQ3xH8vfWMwtjq9Vr
ZHVjkd1M4fC8ik31wSjuBzd66Wgu464d9btVBXqrRv37DWeuivZfNpwrdR33BDp8fJjrv//Fe4mb
AVpFNbHhPCLScsdwj9EQwskidxfxgh04g1v502AcBzHHmJmL7Av5OIadfcObeglb23ufdrXhxt+E
qb9VFHMo/jgfCFQcm/GLKTDVmIeWRIxNkSTL6T98/7+ZG9jqnomLwPUEP+NX7+jcpnhmDAFaLSKE
RCNQ2k+6lh/hAJFFUH1ElVFukTwN+yWXnweRMDzYV3ht3a4yK3uHtv8yut+cLIUnKtzP3loBadL6
C2feA65U0ON1RfxWEQOFSO07u8v77e1H/J9YwP4fOrcMj8P7L7vpb86t63tSfvzVtvX7X/xu2xLi
H54lHIwfuHld3FYcc3/Ytox/6Fy/DdeQwhQUvjnJ/rBtyX/YDiZVV+IboC+kY7H8w7Zl/UN3pKRX
qhseviJP/o9sW3/3KNAAZYGLmQfDjPHrKdFJnCndpNE4AQVDGRJaCUhHHEob87txUl/7F+1IWYPo
mSOGjr9sqIffTrx/cWv9bRTBPSQcylSex69xbm6uv5yPFQXIRmAi4sqHmyTZLt05H6FG7AWBJQkz
m60rPozxf/ux62n2l48lmc8ZFGzWg/rcozkt7nst2PU5VH6ujGen3oviP3zk3602//pDfxkuM9wm
oTvwiUzl+uXRkKwA4Z+xuPC79O3fb1VbWn/7OMZm18b8ZOI5Y4L2yzgHRKQm3KpRNCTH8BQLGeAv
vZ8IhyDr0W2uSZvFO0orBNB4rHxnK0sRQ44sJaVTEHOUXWVRLrtUI+KYI9cD5lRY27EhWGhRiElw
/QKaaPV+v0j9UygHgzBrQ8dd12761P4xNDRY2fH0PWR5KCMyThQrGfS+bOGMzOI4HQGgNKZfpOPV
FkaK7q9FQUZWBF0Ddz/wn9/qx7ir9CPJ2080xogsRX3NzCja4UVnhSaKuxAaP8tZ5VOnIlyP1C8t
mV4tF7iqNstnMjjD52ufmBOReNTBxkUH+0WZLqpQ6sQt8if1DjmbI896j2cCeqpyfmVptAqEu1WJ
fmoFqlnDaq9yJKnEcU6IiI6j2X23Km9VQ5EcUVofTtFfk7r5apnD6zjXqDTbqwY9e2a9spXUpjcL
pI9ty5QXNBp6aY3soHaKtgu1wVx8o0BGcXIGvbkMcPrdfnxlfk0MR62+IlFjxyCZLxMNqb4GABxm
4EZM7uRb1aHJvhul+WGtfH8EvJy9WeKjfuMnQ70mErvYomh+rIwqqEciKpjxhjs220Fr5s+lRqQN
faauW4RPfdQoWA1RIpvWyTvCoOortRo6z9lO9vNHtkyvFCl8JyKXRk2v80hzIQ/rAIkv+my5fFhW
8RrVP8qifad2na+rJBLoU/qLZJzNGbEvcqy/rsoFTYq9Wbr23hLDq1MXH/pY7RLih/31fQpretVn
536uHkRDCHxG8AyJghQZyLZkYUZSTvwUOQxXtZr8pYTUk1XVzibvYGF2vJVFvupOEUMXYso2uUUw
UdGy1VzErKPQf7Ymv/E4oYPeFJX9QTSPGZCDvrXJ0tpk2gMTUHwQafKzzfgFRRuSc4VmIbMMfYtS
nolprj6n1gpDrdofXuWy1IzltOuz7FRkvFpbrA8dYecmjzjmzEVsSRJiMUW2SuPyRRob0OtSLkQa
DiAF6Ctdc1LGG0HQSNzwnfFVPXqGerIXDpPcMC7ExdPh0bx8BzSDioUWH7tc35WmYe/HhuOnybpx
A5eGlEzdT0IW+HEGXX6e+YOhCW472nMZdJrw3fXcB94rYhHOGB+yMUYTeJeG4SQm5wU67zWqzcdZ
Jr8dvrSgiN1pqu/0rogvdvPHaEZoPUTtsuls9ylTYY71nV8XagjIqgXFtOVQdpYiO67HzUTrOyvI
KTadaGvl3VejEeSZasOuqggpt6UHks1TM5IWMDATq20ANx+5tmaYoawYCHzg9D0TsJgeex3bXo28
asjUQ1JORtD2qB/qDomfchC3sfluR55OHjrjLq6fqP5qmpyGeUIKTprCo1FhBOWB06RCxLhFsN7E
xP7pMSsbztnGNtPDgE6zN2u4ogTvwQ7g7MxYEStN/wC5Bh4lvctMA0MkZ6qx3kARBS9F5HxvKwUR
fXwdJNu4ddRXoqGVL73+Uc2CGAJvDtwyWhXlNAaHt3BQ5g7cPmaaDqERujdKL+ANDUwTftgXx/Vw
cittNSoymEVM6FHEv+YWsjSTAFS3Jk+zEI9Ope1TwQkZk+MxVzMg/5o4NMhduzikQlEy5N+Go0zf
4v/M6Ch21x62ESISkkOKkB/lNRtd8CFpZH90LQMVnc3Bz/GqbSeUVGb45K52jJSdai/mh8pHxmKP
pG5LPMXWHIhV6DHxZOmRXWAnj2ogWEuVr5pJTU0lc7LxiLRY/35auj1+50+eOb42w/yqvKLFEXOv
Cw5nCC5Qf9PpFabBPpLJc09IE4MqJfDR/jArvidCccYYhd45cV5J9Blonm6ogHxU6fxqrjlGjGVH
fbIeRzt/NPSCNIDmp7dIKuwmSX7reWyzR5eJzUUZd28PVb+h5DJvnaaItqGcAxvlTri0115nUxSw
ILc9lraYzTqtg/uE4qeWLum/HZmsTKxp5o+CsFyuP1s1T1eVa1w1PdTupjI/Ekk5AB/bS97dD33Q
LN3bnB1YkCIco8m1IY+I2os2H1tPfV03ydxwiTFtJM8RZ1ORIQJG83D7gYaGSaLpY6xYHPAO/ryG
oNDSk3VACnTLZ27JCh98SA+BbDuA/Zx6hRnDSmWHI3EKd9TRHqXdogSov8ZW9Fll9AETaQdCLtll
5jLey3ZneEkYeFOMoMu0AOTl3xZDIGJZRzUnJEF1JKMVJevSbPKFigCVh104jttqRGLnjmo+gAYm
0aIO0y1q2Ec4hsO2oh+zc/HBGbFD6nTJKRQrhLdj8ahKTgpzGh/sKr7rwxaeDOibUTHorVe+uMuv
Vto9svxBb8PinGv0mV0Y+umA6o3W/9YdX+tJFnvbQcqZpRWLosn7iXsxoDBBF6/Qa98o9U3r8hO6
OKn8mEW0Bqx2q3HGntykLNAlz6/A8rapSPQdo6wWoNQkqyqJiZSaw/3cntX4goFkp8uMmqsiARFZ
KMGK7mfVSIuxw7MoEmzMRg67whjQBoDMWNdn+U53eCsuqj9aZ9nVhf2QpqbBBXC6ZPxfdbQg57A7
1OZgfhpjzXedAmEw05owXQGTXX9Ocec6jbMfysK8LJrIN3ZPJyJJQLCNzhchOZTpt/FRk0mXczy1
pOqWcQ2PWC09K9xmV2H+uF/UhOAl1hhj7fcp7FZGASr1YaScm9M62bgWPyouXTZnLtDjetnLgExl
Y4olRF6ff9MqXH2uWLhW0GXZxCumDrm+6Tc2aLKqsDbTEtmn1uQbDWP3Xzydx27k2LZEv4gAvZnS
pjdSyk4ImRa99/z6t1gXeJNGdVW3SspknrNNxAp8z6XiWMKkA/W+D3r4rS555mS98EmIE7WOsPBq
AIxKCGeMGvI+i8kkx0J+EkaipK3edEEn2WZXo6MTZp9gLGRlEw4Jog4W9EmribykPclrc0V4Ux67
FT6kwOEzzrJAxkHq1SorzFHcgZIofJ2xT10mJJUZikhZFs4Ir5ElSquW7EZz+kEIiN9RYeI/Ejs7
aibKs/Fh9siOTFlwuR0qHiLRBLlkYoDnTm/VSfDW7pfTDnsGFpNIWSWvn8FTmtPwQOleOYlGDivq
Hvt/30TS4JNbtJ26XGVhPRG09CltmcSNiMFOVcCqSTHadxacHSGsluxUuMVSQXwTohB3DqMYXZnF
HbKW3LFEdGFzGduoCZnB0YSiwFEfi5I8KbGBqrYfI+Shaumy3ZZYp6PCxiCdODU0mmCezYuaK9SB
yqHl7k2bsMJNFdfonfZzZXyHpqq5KDdlxC2utM6/o8GHKoylGk8aTuyWBOC+D4kC6/FbEWAmIi6p
nkq2fYRHdT8dH02vqn+TggcCV8qPSsKvvazGwiJYrDcJp2tR8QJe7UNvrl08xr8rcyJvLvORQosI
QXkFl7wduY1gESul8M3/e6I4KBLDTPi8hCBu9NQFHBAaLT5TTo8IRcpU6xgz2AiaKuIyXgll6yQk
Ni5LTiRwyKJdCG+59hsxH/I6vSI+tyyhmK25pw48aR0+CpIKExAFIaPgJPnO+jH3CPOmA0nZmlm6
4Fka9giaWyobMwuRRPSkg0LR9Y2o46aXIE0JsvjCfBb9DOTnnO7LsfLGCPDHfRXFCOyN0GizHW9F
snAMAOvRojAIucJ9FnFUV1P/h7iJwm3OvumKiDfeoI11o1ILF20gKAOY8TriRl9Wh8cYhzpyQVof
jeho+VWT2Tv0ZPW4bWQmjgRwPEGKpcQSrxWx304dZ0+12OPsGcNHVg0xstIGF81A2SJ3TeWPKedR
L+PXzDgVizF1K005qUn2HZdTyd22H1CTOEMuj86MaEyvtN+BhhV9ZG4BsZd7D+v5S6vCQYnkP/AH
2aHVKG3rCj16I/O+6oT8BLPe7HWty5xOxPEoZsNbro9PRo1jX4KqzhWEwMpseQrksL+38eKOhjR5
sZFe2Lv8oZhnx1wjxqmW9AUaSOwL8jQB/8wuWpn7MlYL5G1KhSd+bI4dpQUgVKSOPc1mlnrUlLjO
6k6CAI8EaFV4pPUhd+kUfJBKXRDhalfaeSSYynzHFEQWmyo8J7XxJNcjIr9/OhWFMO8JhqeK22aM
yGhHiEMRu9QdoqedNWrJmV3Cc4huR9OeugzTRxxmMRvsQ4pWVxUrhtsEE48Inek5DM1FLlGSpL5+
o8uNXRJD/MkaVS+y+oY1W8ppMwaK+oait/+ac+tZR72xp7IiHHzWCcsOYzzBlsERPmknCuGC7SSf
a2uyriQ405EzMoiHaXF0UC9OBk/N70X5ocnqVTDnb7XNYURKMu9vdEkna9qXLNzDXJ+Cop6/IXpY
HIp8zqROrDx8HvTuZhe7vLo87j0IV4S1ADlgafVTQUentp3d6zNdXNefZkCSngrKZacTYbMWo2nL
eEm2bpPH08rYX0WtPxmaEIzT9qTlquhiWggUeB/83f4U0zG2ktXRFANhWOkxxERQDsM87leBWj9u
CDTbYvOqyGUCsStNUUO/xeyhY95QZp4wkk0vpIbTl+JKaFx2rIB59TmCCAuajBxS8yUQdjf6mCuy
2ZsBXuul8lGSatdKY3YYi/zbEOLPKfUyYFYi6jiqGrvWmq8KExcniXTI8OU3YngaZHLxzDkgN9Rg
RlJgpmj+y0j7UDf1AsleNcxMMjLiiueXeSHZguWHuEQxwXzSfqnqe5UIX3XEQpA6G9GqSM4vkrJy
RAWnU+awp7We+njs3KtUkcLGrvtXnLICKTr59sSSlIGRIEvKjMatBjZpVfU0aHSyYU+YlVxl36kS
YddmX+MsKk4J/prnUmVymK0LsixvNE3V1QdFOoUGmq9SJJn1VYCAHay6FvuhVFzwOK47ZLyoKfvc
K8pE84SG8JoEL3k9/Fd09dNYxM9GGb6WaZQ6ZD/TsselTtYwh6ohHBVRI5srVrH3atUbOzeZDZKO
w8L0ZOZRdjNpKFeJpmgzcz3Wq4LYle+AV/c0YwvsEvWsQJZwWrFKA1xS/pArM3ARvptcN3cqaXZA
2tZdFaVnIWSSkvK2UdUqN8Is+S6jRbDVGV3fIqgoHGfDNTJwv3nzIpbMT2bWjeGcrn7WEWcU4WPS
O5WTmWmSt9S0dyBGLXegsLf1iUMQu60HN+vWKxgOO51DnN3uq06RtCV7OkU7tI6hDvqRFeo+uZEK
BtWAJahdpMOfHm+ZvYFRVgzoal4u/GfUSMbGIljNyFbyNKA5Gh2xgQOVhzNazdAFZFDu9IqIKabP
L+yELX/r7zKNNfvSvMlMMBBNg+hA+aqnKTFk0JBYq/ITNDWQXz6O8ZLHpzyl/FlUkPyi/JRP3btR
9qKrLmvqsEK/ZAC4OVAGmWJFR2eCMy/WVHeQpNKZum5xl4QjLA4xC5Usl5UY1RLRGecZigxdW0ys
GyPB3QIC1F+kat4JWKMshX+r8lp5G1L4J800+atA6B1wGCKOMqg+KX4zRayF/ailT0YkFPtK1u5K
oyjo7GxSvjjqM9E4iGHlk5jW8ZlLqViNEKXpwuRXiQBEN1jLdoo4d+6yKt9x1z6mrr7KRmy4Stha
KGCXYy5NJLQYYFJqzTpPxdruN6TEKMvXvKkAJ6wIuqNmCuqC23XLnG3HmIET2tYqorHf7modLIUz
0aalMV2TZXFha1ti9BIaFuM0Ebvu2rzhDA2KQaXWjDnZ55UWXmqH0ZF1pAGGEd4skoBgcCgOEZqr
X8v5qUV6Vs3rcp2nCao5NgLWVQCel5g8BiLiKgP6UDP9OxfTl3H75i2JSTF5pW7XVhHxZSNSBiyn
Xqsyam20t7BaFU+eQwd//m9dCB+IfkwXxld+WDNuhZzt+bS9gLLW7qWOskKqTJ/0ByAIuFUmbBfE
vKQksHL24pvW/K60Xk2tE2xN5TUts67zNMJEC7N10xk91NIeda24xwJTww4XPIVORcWSwZjhjZjW
0p9A55DMh4lyyUoayg6DO34JfFpwksahc9Xt+eoHZQtGMJEVFGzaJ56cXBAwN3U/OsjFQ6HJr1bE
/DYvPSD1iEHbiNboQ2+l6RRBL17mAGHaHs+ieOgnho/lSuTPIuV/pa6PThang69plOXh0KP5AN7g
8HDPRya+v9rQMBTM+c5agQQ7RbgSF+Tr83zCnV84RKVlN7UWvsvMRctO1IFYf1mtiJQnavMdVxEI
oE9d+JPhogdGzgEcdQuYyyq2Ai3FaqqMLBUMNJWJHOT4fM9SW+ygLSQOPwpV1jDdE6XEiEoDYa2S
5jRW9lvOnO+L1aRB+VKts1cYdeiMmogpnPAjp5mp2DI8bTO+bEeRRpgeRnHSrJjxnMbzZwr6BSmH
YqdyKTyMkhV3okwEj4tx7K2hys2I/91udSZB7H85gLDnrSWR8NtXBmzx6Myl9+aGl1fOfqYJSLS1
FPdk+WK3ngZMUc66AN84lixOk/w7ESyE5+UE/WGVEMtqwIfhs9j1ymy8mprrhDR9c1n0Dti0l6lX
BTSSrANCiVuC5AZqa1n3EeZeJ4EBNBjn3IIxMBYP4VcDub+i93CKfMWLFRN6uyR+Xysk7OFy08bY
b+p6P6jNF5bSBcI3M1Ja8k4LvzEx+WFqXiiufEttvdXShi3XloAsHUD9rBz1vLNHY1mRSksnQWeM
jbie/bxtTfwUZtV+Za2MwNriOGU2ivjAq9rxF14bGjkpv+i407UsonBPcWxXT7OOoH4RGPFj/0cu
SImIns7uURDVeneK6rByzEF6CAhbZRO21rg1GbEguaIW36My3mtINJgMwMETM+UtzMAeNs2XKS8s
bQbhToX6VcupvQzLWxqZJ/YE907isCPtrE6MHL5Hiwd5wb1QVzs94Udr5+qLwSBBNcpjFdTHlOV+
0k9ngZ0j9mErR7uVot+Qiq9OX59VofxQW34jE9oNjyBibxOotSyiOAVScNFIofsnJmXVAMHNqKoW
6b1v0OHVLLQLngWketWPIsAq6tst8lLhH8trIUmfpGLwsoBKZ6tJl7jpnoyKkxxYltOg99JQnhMV
yLkAvPSA+NzJ6a/EUOUWadKOPmZCLzjH5xG9kkRbm7MfcgviRB1NfaoA6T0rYW9HCU2gwFcpw0aE
QWdmQVtTc2usWfS0Rcaz0RPa/cJH0rHCcAxEEW7RhIjQqdN0uldjgxZn/pTT0KXRvnbMl7xUNVWn
1ucbjSQJzdquDAtmTUQoZF21npfOeFs1/V3UR1QWBaVTHCNAV8tL3E8jd3SrQCeicxejgaITeymJ
7EygoKIBoOJIyCOmCHjref5TPxaS7zZb5kuncewnQsIqhMziVKX3I7e9c3sDA2RoVc/SqJjknDDR
WyLCK+GZ13tZJjJeB3pwn2AXFf9No/VdmspNIKHU1qzmg3Q1kCwt3Q5yyXbm70tJocczzCo5wn1H
YbQymcZ3MSU89QrufpRnNLZ4tbSwhYbAxypXEPUZxd3Me97ClANyjquDSQaKYw2UJYZkPEYpemqb
gQEqeZDuUmPF5E+ahhGRNI35URPuXZm22EqMG9EH1Wli43DXEUso4msxIXHqWuLOtTl5S4cmOghS
3vnZovhCJcbHil0dXiP9RWsmdZerN8YCSUD8EcF71C7IjQlVqOVdW2RPmMqai24O+6rPoTN0URpg
AErNVThnlfIA4fPbCQ27IYb+R4q99khWmSPMBYp3gRVMSDc/zCu3SVdx6Ua8EXKoc1LxmplGZTEA
bB+t9lIISYQEXYt2wluDNp/4l/3amoewZn7VbHXqv7swEvgCqfxkGBa3wYzXUePKNofsoggMgAuG
qmhgzg04YFfQSlRStfHQVKXj84yGF2ykn8Ak4pJijSjy5v076FEslHZHJGiv4T1t4uT736MrpA4t
vphrIkTDrQKNGftt3h0JDZyKTA1s0U2Uyp6AnvGSQJFAGNyzDgxBI9bjpzobF3OEnvbvc06/8qe0
vO9y+t0mEnPlpv4bIjxqIV/W6uLUSesKZDIqnX9PA4Sph7V9j9VWbjUk5fYmo4um2ioi5ohNWm00
zYqd2MIgtLccvWbdi3BjNyfVBpbnNovTunNTZfUHydSdBL/iQU6tL2tiTZqEKj5WE8d7RgWQGkVs
i9KwHURYyUO8u7w54X1QnxUGiwejWhnQ5R7HT+8lOSEwTIdjTCqetXIrQ0Jk9d1OtOzCX0qQy0Fa
ksEtS7gUhsFnUClW6hO+SZl+Q14JLe+xm1oN7RO9F5Uj7ERzFv8SqSahJ7aMw2gcpF7/XbvYAq8U
4XyScS3FRj9f/v1q6EbJ5UGVWOjPiW+FpI+gUq+AQlokL3BFYPiddqqiEt5KdezUilm6pK29aH2W
7aXNJ3SXBT6zaV+QsBp3mKPnpTosRGE4kfQmJyHK9DY/SCOC2BSvvC1bonStMdHsq2lEAGYQBJtG
dD3cj7sWfJ9migYDiyK59mIOXYhbZtbbgZGC6eqhnL83qRK0ohWgu/0ABTPfUW/SSia3mMmMH63p
bykarEllk62NpMDZCj+1kaRsmW/fqYvPZYpgfkw5VaNxLgkeXAfLFnRoQJYl5ijLRyggSfNWZiHT
KJopIFFJ17mxlL6DLYz4TBLjobX0dnVkuQnJiAmXNqJJJgtyo2yJlnUSGJX+M7GA1+SczyzABkcz
I7+c0vzDqJrbtF1oq3ZV6lbkwsMTRE7w6LEGK20pWf6GfjymPVh+dBG3kT4Cr1f3AbchYPT/G9bJ
WejJDc0VkdFbvInLLPYaCfpCx4jCN2znwqcx+obSu3RAD/Acgz0b3X8We3lXwAGhMu+tewPhNrAM
MBwjBTKrVVclSsTvDe1T3mx7YlatfFO0+yWjcylpTvVGJ1yKsds3dXYp6k1vK8MA0DIgIAoLLCkc
vwQYjo95YBRrZXnAXOulXCCmTInsyFSszqxkCh4b9p+JIkI5I7OTwdjFyJZ0pynRgmOX4ZBpzeNJ
rdUYM6tXErTyItOe1aOqodqOH5LahvA9R5MycFFJaFWhbpYXtuOHUBexixqpdYhK84ynvz/WhfSV
k3xikxwsBRNPo5vz8PohPmIP52UbFALLT7XMTkq2/MksRNxhXFZUs3gv1Kx8x0I3uZY8Mxxiy+/H
8waWmY5ys2nWiQXVtZ7qSJaDGcW6La4rAZE6EFMpIiM7FQYRtQkq6zratBOSp6kGg9KlnJ5rcalc
XeMKpbCxnJZdn2mszZOhevHQ6AFO1NskM+jU15km3NR3paAgfU5Hkj0nkBDA7Rwmrl65hgxT6Iei
RjN9KTeutRFJtB1W3MGE4B+wjLqDIpWx7KE0+P9fyiIPmNSpvch8WNX9puwu//tf2R/yR//+W1Ah
q/L+7ysk4iMNZQxk69ZZAFHoVVAoLe8j83i+LIjbxEf3+CKi0AdAeH5AAmqv+aRELNkiJaCzIShs
lC0UKKt1t/gEwImGWjLHtbWTLB8JeOTMaXS14lb4etJX2H5dZ4WXxeBhKeXvsjf+y+4kvEj7BFuH
Xy/hte6mYxZb642fITmINeEKqeYZZjLYtThaV1GukeybeG4jObmXCdtj8AEZApj/NI1zrBAhqa1p
xn6fv+9Z4kJfTeEZHqOS5dZJmNR9qRGsltb1RxZnPZOE6SNFw1rM4XgW9XgMJoLSUQfgqsgt5Ry1
BEwvOe+hkqwvcz0NPnv90lGGJDsWxYYe4BUp6oLmpdDGcwOiBEXLvKsrej2Zkgk0pJ9YypEY+ozK
OnsqyEiCB1K9zDLCjM3FsqL74myeeQeL4a2vwpOe1c9LJrCmlfub3ma9PekTmpOuPTKTIop4HbcE
+VE7CET40VJlKow7I3U0cd46rIoDoXcyo/pjtEiRruVvFviEIjH8SQtr3l7sPwOT0saupPQoFtsn
XUWeZylz8gTG8TJOhkEaZEauJ2jHA1t8vJpslyeZWDqyaljY4+ko4GBEoo6kb+EWtpCCTQmB84ah
QJFcqaCirr8oolwEZB3A7ZxTK+hYqzF90IYXVDopjTeQxUSu9wwAk2ssWlhPsUyZPOrC8t9Smhk0
39g2S+kwxtG8Lzu0H0m8wfmII3QWjVleOfYj9Gd58LOShx21lt3kBN5hEmX1VWeRp4e6vAXCQZSp
yVGPFQPXhvlU1xOTiZotbrOwmk43GdIYa+lRnTWwvq1+WGSdwN5u+pPTyRmqIqfHixxjrf5SRXvV
puUH8wCyokQ9aYZ2ZPfmMhhiGCkpzTZZekOWR6L5UD54iLWLukghFTT8rD5e1WcYPEIy3IHt0HZH
DCxFfBeKiNG1I0LJ1aXJ2JfYagSjKLyc7dahRY/KR2U0zqGlToFmbNBgGvJd2xfmMWVctI87wTqM
Y2gBRuviw6TxY/D4F/vI0pVjJVYdPYgln3RyZIM5k5VzGtamnymjdqlCNuxpfO4aNbygh5K9VoYW
ZEiklQLvK3c4Hg0ULpCT+6qLID40kqtJ2vjEBHZwJwG4vTKZLo6tBLl3MT/32GTdVuiTR6MK0FDx
oT4Gq1mcSDWKFyQ7MJKNigI41llysijfSyENlconzNHLsH2daGOcIs3aV6ttecIxVr5GIbXpLA7l
a9+wRII9kb8SHJAxKWAvLLY1nJmpS1+77YvKSxu/MgtFNCdl0SuwwcLpKVJf5hIRQZ5a5gsHEwP5
rjZekFdVjjSq7S3MLC9ZKpkJN/IooLHcddu/pvEqX7SwAoOQvA9g8CBesVsPLfh2XSNAVwJ8nujd
RFC3Ol76PpkuU1krpyFmj7n9ft9MGHWtYmRPhce1k/pjmxo7adDN1z4zX3rwsxzY3/k8QdPMtvWC
IGVeYUYfmCwISI1b1sdRZ7hQnyVeJSIRqylpvW4omK2PvBHCDP0ErdsP+8rFT9pWY0ytqx6eGsZW
orScZeoSBiNYPHCTfgnLehJFqbqlejoFa32ZyCIP8iYzbivfsZDqG8TlYOGTfyo0jmM2wFDEQovz
bITnSG+7C7PWOGYTpmKpYyOo1igl1FLbBDtC71RxywCcJCzgBOgCjPGsqSPbkyk0D4h2FBd+7lMf
pcceREpA0D3bGi27tUmyG9opPRDbVFK5cciPI/vkWclPIehNp18PYWPoHoN9KjvKKS4B8Fdite5Y
snVesbS/ZpgycMsu8nZqR3kt2HoxEBpdFvRHrcZudOtr2ZI4E3JQDncOkXLsTk3L1aDHDVs/Haoo
QiyEYBi4ZJkpT6xYHipK3cZRTMGejxBIDXMlXU/XzynFJk2T5ZvKMhwlFbxCyQj4alTpic3XscMp
C+bYrPzaTOQ9B8K84/HT+Mauwjg3iFhXSG2EIc4bF7Ik3sZWjZUqLY+13aDr9PRz6YoLdUi8EnNP
XGtM6ffS6VJzixbQAgpDMY7tNVCqZjnQCuEFf13XcX2KGCOc8KlHbqmI4ZkY0dghsQbsrmgdkMQ5
ZaVg34vx9ndRiyW6gWo7MxPgh1z3edyvN2PFeF2D4RCl7NKZOlipQT3lYJU8oi3Mg4pPwR6SGI+6
iEUywrana/KVrSBCVUV5E9IaI077EiNk5slarnrNsnzWJIXIWk7cuBtHLDtZvsMMydCyYlY7tOlJ
xEnEAm/BImdNV4QWs8FxbIl6ceDuD70FvrIjbuGLM/uRRbQWTILgk9VZnY7ACJRANq69OlQE+rGw
GWq5gOM+AjeNhxN4jGpvLhtu1KyaE5XZJVrD0R943litwyIR4+pBW4fnsdCP7WzNh35WgTO3YxfU
6uCxjh18OhPwQ4bQekQ+n4cq+hBEC9k7I+NgGZobuUVcDa2kgnaI3mWZNihWzG34A5ulvViyIIKf
zFO/bMw8CDOl8awQcVWvRwcAZlyedXvvcKQ5IwWBWwzYqeAgAkaaZ3axoXiisll4GMeTYfT+NOft
ce7067/GkVfSbgtdCOJm3Rl5ETEuQEEwQoSeI/0u6K2MN1UD+sjP4+eycdYM5Lh5OeqE3tJHN6KM
MlyILmshk00J5NITlKUgwUllrBNaTAkR4zlTgW58TNNX4hHyQ7aW+831dCQZ9gQIqd+paXrTqoUp
CZwCR2nUYW8kE71QH+XSMaoG6biO7Afr7fL/93v//jFufxqS8UBf1i4Mq4tOcwvdUHat3u0i4D1H
ZGwm/OE29VXgYXtlXsRjsv3Bv1/JxDe62LS3iXgfuubZbH31PvaBJuMIdFEq6IcEbhzL6/v4PiF3
f0Rus09c6Va+m5/jD+4b1oXxmyT4AoNfbJ2u+kq7gCuNB0H1pru5nMMv2FL9dO+awEJLKNjbWAXU
pwqW2JY+otGvg3Qn7vKAlPUffuNaPYMDvyOjl+g3Krt4le+QuNcPA49pBkbG0W4l1kbG1y/GCaTQ
WRB9Yfe6mY1Thtw2ISepYz1YEYrfcHwvqeIoz9m3buBYdDe2ZDC7Deb53/pB+JXVnI36CjtWv0ev
arHrmu+xPnMgAOlRuEdYZZZHqfOW3FZkCFZ+DpIM8gXTRJuxNY8ZnOCkpmPI/RTqW4AURn5qvivR
HnZFfjYxVQo//OiI83zlJevhNXnMmKbfZo+wZEsL+OphX5N270LJqQ910GQPwG4xN8Z+kTwRuSJn
xx0PybAvX9NX4RMpAaMkbA8eScqap7yq37l8lEVQaM4a/9eflRfrkPKo7gZQ5cYuYplo44A8oW/L
Gzv9HL8AmSj32DVv/HCLo/7MwfRWz4fxPX4MrwTlKg5SWwAxnGz28sythoQooOMk5lS3x4tq2LXT
5qgw7PJFrFzUJMIjFWzADvPojT2Mpct67SBmnQggj9FQ4kiY8KE7U+p0h/V52mF/qXyWPQKIQoeg
jZjsAXs5lKfiVbpqj3JyVP0+yLsche9ZPcggHLDlsod4Fu/GQ15cmQdH2Is81437PhzwBqzMhlNH
OBVH88zgmEbyke7zeXsCIjqOZRe9sbAb/fK/9tx8gCI75Cj0g2K/eurxBeGkF58Lfpg38jMQ1DBN
/oENlHy1LrO/i/QLRBQlqgsbOLu23HGf2CHeOIALZV/VnpQEkxqgxOi5VC/WHps9WzNjvxS2qOzT
F1MEnOBL88FgyMxH1R0ejV9e6MPREiyOIB7i13zTVbu8Ix0rltbtTrKdHqLn+UUI0osWJHvjpS1v
WrLXIzeM3DfpLt/CPbVp1tjlG+Fv2X/tEQA81H2GJcxW/QiCNUrQj86t3iHjMQZ8G3zVFZ4SqDfo
2Ox+F4Pu5+29zF/5oT0btzr4govUnZSg9lDlgup157fsE0PIs3FH41K9q3bFLDry1MxPIi82nf4v
/SPRD/FERwijp1xE5dbvpCNDn+mTo0z5Zs+3CepRgAdMv0kgUC4KLwxKzV35bOHZc5rP6kVwWJnA
b3n0R5zvzbSTvrtPMfNYtJJscG724uCgArWc2THfm735LMXO9KPbldsGw7V43hw9SHEBy+2y53za
CQ9mRTAHGYENrvhQffmne0+/QtZUnhFo95WUgLc6d81n+sT1T8rBKuyKk/is3K17nO4Zg4V7kCXC
hVeIZj09ZKSFfwtwtwPKjdJjTaQf4kN11d9BC36Gp/YYBeWu/uv8OHTS72bbNNlWcSRbgsIT9RdO
StEOqx17uuNgPOV38oMSf4Qz8cLc/h3mb3ZNVXcjMeC02eEXR4yMtG76i8Szil534Eq0jV90nMuC
AeYyIa0BrcEJ9MCz0HDX8NDIyMHs2kKa52rUnkB7lT2vvF2/xl+CgdfI6X7oWGevX2zUiSxjAQl4
3U66xaiPgxSA+HE4JS1vNg8TpKrtatq0D7Z5re8iQN7KDbmykiMBXYbmIIBGXkeWziF82TCJiyO2
Twgi5/UmPMvsHZ/SF/TcAqNgOy+CTvWk87LDeEecFlNxh1P3J7qY5zp1R1f0+pPwPN+s03oFWJhR
MZytU6Sdw/8m00lPgk+XiA9DeXAjStRu79qDGIWP6Jkr4cPYK7/Cqdvx+Utp6hkYFPjRnHjXvgLs
AHiJUtQRr5aHmcGJP/S/6IhMHAonI88PiUE/yAUeVXakO+kCVS8JWORaBwgS4IcRAIuKa1me+dwW
bvsnRp5wSD9F3tInaS9dm+ErPRVv4AqY2m0olMnuHbo2ZDK4WSe+nWvOUbaEu4bzUJwCdQ8FK9oX
i5/+AdsC7UKI/cSVqcKgcFj0EgIQadDz8GvxR8NHse/qHSslNBXwycW9cGYFi8p6gfVpEAs17NZ7
XAYiMAQvcvvJiT0DafZdWWzZ71+tsyQG9RETpGbYTTCf9MDiYyJdhffM63eU7vIt+S86p5Vr/orj
XudMvS2SjXZhgEEZoBOmCFJ/yl1/ZMdZ8CM2L0RTLpMjl858ROYbe9Wl/LDeqdGlUyPYhuGwBhS+
mPMjxw1/tUsGPfwGsKINV/Qsdv9tiej0EBif25BjwRXu+jOATn0+rMfcBdTkRBiAguYc2eN3+SY/
lnd4puY3o5/4YB7LS6F63Uf8WkMP/OEjJ0V2f1S+hSdeXZ/oiZh4b9uYrrwQa+MknZs8snhnWfd0
sgdpL7NGg9IE0o6vV9rKm5gcdNOb91p2kuxxR+IJIo33ftej3DVtoFD6b5jb2ex2ji7C9HWN8/jX
i8CpoFQwCwrK1w7BoAOV+2PllR69iWbsah4ThX2Th6+awJbyGO4sen+7OcU79Vu17sMVYWI1L87i
dz/hXhEcK/GHp1Qj787vXgQcGIXdhxho7IIX74hBcSGtgPXzbrpqw0mPA9wY8sn4q3i2yYLQbOPM
Tl67D1z3wvNCvZE42mt7n5DJf5doLj0Bp8dN8CMkNShrDZTJtlp5fDDLgKCKXdHv2vXKE9bdinpP
NFIsOiyskD8Mx7x3TaxI5UF+4r83cOjjNhi95Wkej0bmb9rKzOasYo+kx75S+qZ2oGcn3ptKIa1e
dPXcAyYyHzSSwnCmYKv/a59667lPdyFl6Gda7KU7BxTyJzl5YShYPnXX5FriqTxMjRc9D29ZE2Qs
XjTOKIxDrrE3KVzqH9Egn8aJXrXrrOBT8emKUQbou6i6NNmB4RzlHCqk5BJ9mZ/ymUMi/y+9j58G
s7vd6Cmf1anZx4fh2H+oT3UeLGyE0ZSSAwQQDNsU2RQEwBRu7TXGzvrsi8BEUVQcKyiG5bU0XCyA
oP3Da7Q+V7/1Zx3j3LBp/RKT0vy/iAxdfpo/vF3/R9p5NbetrVv2r5za7zgXOXTdfR8YwSBKlChR
0guKtmjknPHre0DndF+bYovd1Q/b5bBtkMDCCt8355ixesZb1r/iXcSGBVoFlRzCwVHwDeNnAdhO
nohryqSHZOnXm/KJbqdzFIDu3A2/0q3+lL4G5tSxzYPL9msN62RCTGE17fDm3WUaNHd8T7NAn+a8
rDwlBtsefmuBAmUaPbOPq5ITBLyU0uhdR13vyOfEHIp5gOVrHaLrBs31SMfNyY5asxce4iecMh1I
Ul4zTh1IRX8g9hzOLGw5xoiNy1YCeNBGPKJbeSo5dawFBf/OxNmZdolgmrriMNX22h06+uClX0Ao
V38w8IU1oGH2rRh+IFpPk3dIxMW53pYziVeG5QlVHYL8l4Speu3Y7Ftm8T7cKMVMW6TraGGu/Dtz
m+EFM9kFT407756dg/vOOxNtGqjRWGDUZSVOsid9WGdAVzgzA6Ix54V1cLDGMNq0tbYz4km3oa5O
nUK1HRx82SLkjZCn2RPtX/ddYsJiR0W4DvPsJjSX0YsjzYb04014z7p3Md3DR8pfqTq7wsohrYcV
BIkCQmq2Z11x6NR8aT7WMBNdtvWEO/jsfcSJ9cHDYFUN2cZzoFmBVb6LD90zsPnm3TJm4Ny8CVX2
j16baAcMLXQnJYLAHgpafov8CJ/ZYxFykBS1rHcbj42fvKAQbMq298wLmqIcX6jreO8uEdmazJ/r
aBVt01MDfGgTHdxdxhHKYq8Ekj44Uwh4VH/Qn+EgyobVnGOTIR/Oxt8H3ClY+w/JIx9behDfxb1y
oJjBZXFHcUZ4w+vToEhGzr5JZzxcYRO9U7vjoBCdS2eDgGTssh/cD2bjWFijqKp25hHD7o/gV2EH
tPRW2Vz96WxNzJoOZz72yJP0zoJlM6Wul23bdVxOtVk59z7igB4W5yGbQGneo2IdzFmjGC/1K6UC
1uv6ldJHlU+JhuDQMHPv1UfhLV6IP8V+QWYUQQTCQ8h8iPCTW16d4GWpP4tfrFptDjJompazduU1
M2Xu/HQ25dEtNgFi3pW8FWbGOsbm5s2gU9XmSlzkb4RwksnkHLnZv5DQC9rEWuMDMdBKzJxuoS2t
fbGvnhFzwruakQ9I1Zc3nWNZuOi33olddfCL2U+KZjr8mB89BT53cm7I0WFVUOfos1nlq2O995Rt
9KG9Mjof/ZOzjG3LmYGcsTbGTsJf+EFvAdGFNbyQfJTODQUp/ER9F7aiPXKZ5lY/AUbaTvQNrZOZ
d8ew6sp5sCrXHhb4BxL1mGxGkRhnOILKHrLxEGvSYSB0Z+Lu+mfp9TWXaMvPKPvQtMVzzsKYv0do
2afdQt0xcHhI3h5+5Bn7q/kYpRP/V3BofrIICE/SInlLDn28TFkn9s6yWxlPzFG8FMYHXbetsu3X
AUbhtxB0A4yiJ/6x7q2CDzWsVAiLCru0qbdiR+ycUY5/hlNMg7PKEYOdkYpycuLdYa8SH5nl3UmH
3eIuwANzSHfpCTm6tR3rmwJdn7nz6D55vE8T5xidGcPNK1vofo0eU9z790xHMlMOlrMJ7a7yWB61
t/LI9Og9ihuMBA/5oj1ydgXZs5UWxmYV7sW58VrwtuUIStMFkyeTpfbG3vq5eW9tujHH7BmBmjDr
0ZGuG7bSi/6VAztpHeU2QyeZz8qFSMuPZt+LtWY0/Sj2uUBZZhoiCktm7cF87buNNWt2zs+2Owbl
QogBLkEk4mw5QdVvG7uQ0j+vDQ4fDnEtNsaJ+Da+QN0uJ/Dnl7PQZHuAc88OoF6IuQ18F8XHUtv0
u+yeWRDNobXu+bDFsnjU1t2SOyBulXlJQ/AZj7E3CakHJS8A31PqQiyUNLd24/YZL+GPhG2ZN+/m
IhynZVjOmcCPAhP5KFyYZLZxl53KV+wUMgdPaS88+9rU1aqGV6lWlwYi6NaKyPelNbP+/FnY6Q0O
VDJbykEMZkbBK414H0PTuxsCtKevSc4MXTdSRfDKemK48T9/P0SEFYdVzlAhvaKUyKSATIcCKORg
5wcYppQhehUipVwYlcb31ktBBqWf8FPXDNc4Dun4BbhLfPZeqJRRiLb1QygG+TJK+Dxe1mB17nkZ
2vGHANkN6Li8xeMNXscwYMVKHdulLv33D51Z3NVqpi/B1kXrriXcDUIYDq4C4qZ1ts4pXPmtJdRm
DegxpQiLPmEeZySl/usHfXiODAGknaFSxERgDCKp8Nk+eOYRkWVhexkbc3SPWBApPKt4T1FyUKLt
hw9RCw5C+OBSsWgz10Q0IGF9LnatKn/IoUigRsBhTjf3Dt937ee0//K4npFnwR4AtvLUwt2du/0Z
6tadUxHtAoqvxjz2Guhyyasi4j/mQdSqbKNXjidCO7A8dnsDRPVywGpBZYbGmZO9qOWxV1Gvjj+H
9pyjFik/gBIfrCh7KrrysRKGkDlSnaZddGr1jBJqf+wzQVlWqmhTWV9IvQGBz7UzQd4pHDytxnlM
JPXJIJRiYsiwufWeE0uh2HLkEB7aD/O2Ml+yeiC4w0UN5HTDc0vsAo+DDUyqOtSJsg9TIJDYaOpZ
IXY/TVkT1jChcPR5tqMU2zLpylWNy4p5JopWhcHW1ejsVuy9XSFgOsGM0S+dvF42outPfXXsYpbG
nRlZ3aZJ2GRaDcXAPKYcJAzq0rLknz1F47kpG87ER5wxcyUH/+hxqLVfaovwUXB468I6WmgR24Ua
xDUG9l2Qe5yGiQn867/D2a+Ra74iuBAvGZpuqbgzuegF0IVwUzlpBLOwWxU+RGqBKWhYL2THX43Y
sjjOl4UarCHisRgX/fP3l//Kdxmv/hncrtMhUi/4LkYHDJcE2sIWw/aX06kzsXQpHQRUMYRRoOQU
OtUuEa/099eVwA5lfwK0ZMRUimGZGs0tVR4/2G/kHLHUs07uJHjVbuxMCpxihU7gW/vQ63jhBxE1
PQHr2PDudAs9J+1kTrYp4X5We4OFJY3f8etHMWQFkBfZvtbFE5BCTeyRhxa2I4JFID0PLIRwBuaO
KvLeu3cz+pMjEIbh29E9a541Jx+msMfTxu1vDIcvEe+mbMkSWlTFVDWZOO0/bwtgbkkWUp9eeZ5g
qApY4EesQNRnJw8vmiOY6o0noVwbgDIWDwOLiahDBPvzkmQyZUOWga7VE8p9Rhs/A4xDJ8lOqx7I
ax1vvyFV71nmAIxJliVO1Lxja48cAJdJtFagKiIxDoit4gATyuz1VY2/5EDn6+GWukXxAkx4kfUo
U6uYx5vVtMBzyBEciBCHzSFk7r8fX9eeqawoBhZZc6ReXYzr3lUzViW3tE24j3MdPMxEz9sbL8/n
IL0cOYqsiKYmwt8yDPnPW9fhdO4rS4bNV2gH2DT7JjY2LYm1bsUbk1GCJfVgP2QNOAaLn7Tmqgu0
O/wfkNbbaK97jKiozB4A/6nmlme/zEz1bFUjsyR7j3Iyz3sAGpmeAyp1gCd6v9IiLhbf3yz5Cz2L
UafIuiYTCywR8jEOkd9eRksD0+7KCscBcpCIkEihFUC1Iy9qQhQzyKHCj+3YUFaEt8zFsaxsLsCt
v7hSi8AxhDCid2fXks9mWDyXI3NBcaEVDK374MRmceMduTp3KCqNOxYvQ9Y///y3j6uUlp4aPh+X
kTWtJag2GK6mw4idkuLmOaSlPnr63zttEyjULl0EcNRkyBYjHeX7Wydde3uAxJuiiqIeYejFEHAR
lkiCSUJJqNE9MfKwJ3SeGqxHTSiX86Wr8T5VDS12lzZG68Uf33+Aq68vsGCZ7BXN1BmIF88Ov8m/
xmCHoGhWSDJF5sZHJNo/m3UQkOqQTsrxzcOXFQIEGR9OIz8FJnWlESfTYZPDxt6dnRGIMiD2n1aB
dK6MkIKre5dFGeyeiFM25D/F6g+N5/yAE7HBRknBNGjWI2WpGjFU33+x/8OdNXWD1VhWieb884uF
aFAZQCJBIulGqymx6wquQFRriw7UTBWgJR4kaxVROA8gv3x/9WvrIiNsJJ4RSitfUinVzlFrNWZN
6EdOj0Bpoh3opjZE/0iu8RwA+O+Ltrrxna/NWqoIMUmF7wPJ7gInF3Z10vRRC1Gx41kiuHnXzfT9
+2926xoXK4yvVTI+UQYsIr+7QS+WqhnfmHyvjkleBkmxeC9ocl+OSWK32kKueClyaaG0tAB6ZhGr
Y4ARLLDvPjFBqj/X8hoKdLLH1EQzHv1wFG2J6Nj4RXPXiPhDTVmatX1El8qgYuD13rtPZmZVogBu
FEZyLfTPXsba3I/AKNd4zHznxwgcMx1UGt/fOGl8lf+c7RVRJHrPZO6xkOxfrCmqltWKACzIdhGn
TyqW8YkaxXMZEdQ0iHnNjDJ6xt1NywHcjSvkdE0ytr6Zlcy+/yjWtU9imBabVU2WjMtJJ9cN0ewz
Jbfz5Jfg0mz3ZOrXBjEKUM73XVE5GwVghadsvr/u190JqkkTYZ2hm7Jift6h3yZey5WqgWyCHNSt
R24t72TJzZ6mWYMfjUm3cG7th8YRf3HP+X6mZmCc1xT1cndslbBP+97EHaaa8CNQZkuK+JoVwcv3
3+zqdVRZlHjAzObq+M1/+2Y6ZzjFKozUNqndkDy4FFrMDLlzY69pft32KpLx23UuJjWBsB8H4Uhq
g6SoBHDlaL455evkuiELkFKVvuJj5KertAw65u3sTQ1WRh4c+PrUGpq6WQjWqLlS4rmCHktSPHER
sBOaDF7MJ056kz+DfNCiYMtVADe1S81ItTrs95mYLOGHCvNOE1H0QvepLRNRheM+uTE+MNnhmB8o
Ky0v3cXQLNLYi7etSoeOsMR0SuAcAvgUjHs6/MRnLqxaDpR4JlvkkfTys/pnY4rIC0LP5UCMXwyg
yImgW46ntNrcrkKvZr5JBkoJsI8kWldtNUtXyJCkAz7Gtel6b22siwhXoetonbp3M++XCBNvFjp0
sA3NpIY5SMai0LRXcTGGVHNozpcOFdbUogHe6NhtghDxgNl5L/4wHFz//vuRIl1ZmNhQGhqTAeBc
RbvcLUXRICgc02DnxgABZK99aqJkr7Tyk1lYP6hGNBOxD/fYeY5WHDyUlgcuV2ux+m9TX1v3ifqE
ef1Vk/K55GXPZIu9SzrZx7JSERoQyUvyfSjs5PrMF92XotETHq5D7owkLTtH/CCMcK0b4R5bG10q
1XtJG1qnAkBQxfoRte2TRuDfUNVPckjJtXEWapDQEImtXZF7JMd50wqKMoAcf6p0NeE2eDmDfSyr
W7wke7lqnrDMucVHQPKgokgfvQsfXjB28GCIpyjkU50QRtXRevS57Q6Af5W8EUpN8xxSNNxwoZ6O
n1NW23BWGvWTp0sfn3+v0bdlWu5R3455YktBRs5XRda6Uxxboy0It/1UBkTzdMxpkvqqyMkKnwUx
bsnd4MkPrqbeuyFsCK94Fob0DrcLzB3Pe/bIbCq8bNhWwLTJNRIeq6S8U2vjw9J0qvlmcUyxIz6E
jYV3K3nAGpc+cgZlTDkYrm6MkCsLhWxBS6X4pKHKNC4mEyeGWioXPepoMGSpW/TrCnLpVLeoQ8aF
tvBj68NHwI4kg6jhVOSxh2VHE9RRWvvGZxmX84sJVJENgndVC5aHdXlEocrSNG0WpzY4EOTp61AQ
/NGoRiIcerlal5o1wnsRnHZ76ozqp5SKT2WBssbzTHWeNhndRAJyV23V3VjEpK+nDoUTmqjrsmRC
xbyc2wuXsEqv1hPbxTJAvSszkcrSeEFc7m6crnhz4gE6oSFHdmnA2fKEdlXXonNjURvhyJe3CL4t
65lpavx3eVas+tBsnb4GL2s+QwSIl/j/YmH+yQ3B1DHpgq7fJBHiRCVdFSNNoxo952pjISuOAhyN
+k+S0ojeQHTndQ/w/oa7lIw6t8FYIqtEIVsoZ52iItRJeFCaiO/iVzLEOdhaxHIvnFon25GK+Y2H
//VwonA+UkAyaNQ2ZPliH1aGVRaFeKogtNYkSFq03osTDKpJExWHvE0OUU3WYa4MwGLS0/cX/7qD
VsfVVDJAQhuWpl3sM8Mmw90kBdhRTNpN+JVmXd8fqNYtfD3ftnL8SOTbcGuP9vVZsmsHd20YbIwU
Ub/4xlmZprXb1JGdhkg+0RJmYXka9BroR3CvOeikEzxy3SkOjD0q6o/vv/PnFvDPtw2CPV9bllRJ
17XLjZnrR1miRnlkD1ql0ltsGB26jPROnFJavQ8ifd9gDqC9rdGTFkBbtFQn8oYYPNE8FrVyqMc/
Nv3wvi/x8medScUkPfU9Oe13YPzWQYpF3yhuPa2v0wQfnEMHm3ZN4+OPU9pv+59co26t1zEfHNO9
p+AGHsyPABM+CMr99zfp2sBQKPrp3CZ2QtrFpYj/Eh2zskI7DOEaGDg8XGMZazV5ew0ZsWCqwso6
fn/Nrxtmvh7EdAXI+TjZXG671AywpkDEQc58F1rZKe2lA0iGmZhJz5+3PHTiuSobN8bj122lKnIk
V8Rxs86FL14CraSIUTlGaAt1ve4JnSOV/d7Xxe33X0+6dk81kXKXYkIWJKLoz8fHtqvzff5t2020
vd5whk950Si4sVSmb7mgbENVXgSitjBhC6gls2yh4LSq+5WPKBBIlQYHbjCOgnNrZF3ZLnEPJJH9
uymLOifCPz9bJ8hdEgTYfgt8QOQvPSlaxxzgbCu/2tTNm+QEiHwCGFHSraGmjSvt5fs4Tn2GBiSM
lebi2iwglQXlKLQtDbiEitGPCgisBdEgcblL21UF022CQRNcAySShPg/vgGq4ti99zDBT9rGIWW7
8u8+gbemhBHQ5KVWJLzHXRxCrGElIBuR156CmSSTvC4gRlSyOlk4ZfIYqZjIu5Eg8wkdqzIVAz1u
Enxi0ehoO3yyDITcnGst8KLP/x0gngU7CegTJnJKreDg2va9KrV10YBkGFLSdCOPSCZTyaewj0Fy
+D+o66F864D7CQTYAOKyprKUnwA8L7LxGHBjwI0v6ZcbS3YEbxSZKQS1/vlQhwCGq6cy0fWt8O4E
n9FIc71fxwVqtBwgiqPV6zSBRIJp6gN3zlzJyofvP8TVl4vIAdoXlgz//2IiidWczYObRjaeTiRV
fG0xlA6mUd04tF2pNzKCLXJ2NCZ1nVrfn18Wt5uSZHkS2a1C0wltolmD7GCeLvNmzRbqAPMAPTjP
plK0vVfL28JpSMe4ldpxZcc0Vugl2kQmxc8vqSNDIGIjBs1qSyXci5ofZl2xLN1TGPev2mjlLMvo
R5Fru9EIH5s//t9vOHdBZUFXTVG8rMjxGuhN6DGb9aHzMd7vAn1ZXDg3Jmv56yGZIhgzI30Gyvdf
Umm6MkwkIrCQkYe0GCw4/5Moi1BnGfuwl6A8MGcFSmX7jW5N2opRDnl+0qAxkQso4iGGB04O9mCx
5R3bd75qHWOYObJD2ECHPLCUEDjdnoavzTakM6ic8GnifCnLmHphgvBrSLLnokJbrYUsO3Erp4ks
b3vx5qx/9T7JCqw7sBfml85NxE0ydKpfdt/dC1INEjnMTjVlU5CQJsqayP9RRz9UwC+tAK6qZUeq
k5ObIID5fmAY4xtwOR3woGjyqpJCOMnFOmfVMoAnNw9tTMa4dAD9m4AfIFDmUCt9tF+YpNKqfCBI
dc+WYD8mBormm2GqhxhtTXruXKwrPungJdulgAUS1LRHlAM/NJaEsr3T7jTLuesr+WB2FDMyBoOo
ZCe1Cl8spXqKs/REnvs2A1Q/KVFOqsVbYWrz3CXaBhvliVI1JUjrMEj5owKtKbP8ETx89lOa7Z4Z
E5Um61s8xo+NAgImM4qNVyvgLcQFHf6ZQ/Cxm+rHxOeYy7AXUZx2IlhLeesxHCbkgsLaef/8uaHH
88+7nOVUVLz0RyDeWlXVq8/eoMLK/Ie373JrXzjlWFKIWdnyguRoYW+GzbqlyTkbX4iibdEHeb2t
ScQLdsEPnTsdWNIhKJJT4BY/a69cDaJ6EHx2mVXLhJ0X+RMsjodBLVq2pdY0LLyfwQ/JAjlSe4gS
9P4Bh5edwiILR86UEekoowX9o2FwmZlWThsF3eM4FysGfyRCwAcvleHWaXASpO5jVdLPMoQby8C1
DYYkqhwjMXhb4zHuz+k5MmqyUgGI2EJFAF+XPLqdsxaDueTmz2nRn8QMrY4T7a20v3HGka8sQRKT
4bhpplmrXO73ZYm3WsW+bQ+O9AGu7RXY/4shefPcSp6C7L2WFFux+7M+Gss0hDveq5ga29RRTmZT
PSU5QD0zo+uXjZWqZdkhoJCdZEG9B0uVVT15RbT6/l29NrtS05J09vvsx74cuxtoq13hpqndBija
jGSV19R34vapCJPVkIVrsTUWiodDC5UmieHLDB3JpBXrp6hCHWF4WGe8+8gYfgad+hqb4scACy4w
n6W4P4WleONMdfXxShJtSXoxnOkuV19VIG+7MMvUxk63y/W2QDT04lbZRhT9vctmK4k6AjLdZW+S
P/f9zbq2sebaY+VZljSLufrPscWU11almjO2CE8hVTtjgKlb3pqlRiqZEDzhrF97g/iRReIHdWoC
EaUl2dk7Ta6fsOZPwspExgx8WhGTuxsf7sphlw/HcUZhD8bJ7WLWjZ1CBTjPkxyq9BXcGDnJ2mug
MV2SyDfhfLoVybCeuJq2011rrXbuy41PcOVcxZMRianWOWCZl9vAzFD9Kk6oLuV98zQ+n1a3bLcE
Yl69qlbzJIrhSxrr2y40dz5+MnQeaaC8BuXwURnuXkjU1wTIPoHdazzFN97OK8uxRIw776XKmvSl
O9/At0wG6tAooWvO1elZ0/JDVDKAfDffm3Vyqxl85RTGhCzKsibJqFsuJyJGhpPK5ZAQ84atz0UN
D89kAnl1luneU+D1/GZ343Uen/HFyku/XtQUhQ60KlvjDPXbwT0b2q4QHYpXOJaPAzrGDm+4Ud25
aXKr8G1ce9q/X+tivFlCEAaqOhbKLPhYpe9gMJUgdXHCkfxT3qUA2Exkjaqy9MR8N2SpgQnH3JC5
ykurz7CsH0aib6waC5d+XpH1KzFVj4DqYzr5pJOAW4qGZSbVPhgecVUK2QFLrAdCX6ko1kKR2Bib
rC4On+RjJJox7UfYfNlZTSS7V9gXag3YlWBYlZ60yhNjnqTNfe9/uLIxJwAeJZ2xNvFgU3KRu9Su
0n4p5kS2F83OioG+CP2yGMqd0OaHEIBPLWA1xQAaNXdx06+UGpdaXv8KgurQlHxKN9l1CQST2Bme
tIhOiWwRaZRi0p76BgibqBsm2Q9z5YUcz1LVgvniiK9E2byFpW4XIMuEXumngLStbtaIhOQoEGkW
OX60T8KlxVdZqKgkceOpax1NkBG4+SLuUEqL8SlDmkVlsSQHq9oMbh/BQk1YR/ScJJ+UEQheYKkq
RLOaluuveYNxgtJqWQZui3CzamHTAYpq+4CAiDp8rGM2iYqlAgaJxIh/YqTuI0uElaDtvM7wlpCF
kIxTwZ4QwvDq5OisA0tZJsQCmUK2B6OHR4dRTybyHtT5TMnYjxlityoTlkINalyIX7ghO8gKzxb2
IMMvD6ZjbjSzODd+uneLZC+UCNwNB82TiqU9/Vma0lGO8C0mYfoSdCtYhhNDB3dL4+A4RtAS1rmx
gBRbnu1p/FuhcycSalUDDlA8bVEJq3FIdHq+t3pjY+o9JlI+5DgPAElfom9dKiHcQ8fbtn79mhpu
N0vqfvn9dHn1/ZEMQ2JyUJCtXBxY9bzMq15nQpJLZ1bozMhe+9BnJF6gElJ7fV4P1oaveGMevLZJ
of7B6RUxBVqli8tqXg9Dhfxhu6L9I4nWLglj6vnJjZno2umUzjC9Ro4+tBGti+uoiIOA11uJ3faW
Xbc1nihI8DFuXaopKXI6oJve3irkO59YnFy6vVO4NuOzqBo695gq7GW5x8riPM5ajY4CHo4oR3Fa
o39vBX3Lb+8QCnDoMyeOOzwy+c89H8UrSMStWABINik+1gTyVBU50zKRWqa+cWKZDpYGLNkhiKaF
nDmJpYRXsHRsN0o+Urd6rD13DVd8Y/UNMAXSphqtwKGQUM0nHXzhYiCO23rWp/pBqcHAhUyXdT/2
CCNhKhfQSr1+dDqJ/UlJBjsZCNzxjKlkGbvYExHyf8hliDCnwYBPrtfEUPzHPNsXZoqGXcU0IFbD
aXyaKWQw/F9dODMD/YWjVBjrQBt68FnBvoC3BLmXnci7I7QIF8aOnce8ocDRm0muT6GmCe5MNqlk
FQTgFKhClbFRkcHauFQZwDhKIIQjx18S+bGMFATqVZSdMVIBJhVhc3cNWH6EEa2rEmlQqYesa/NF
j+bfyCoXvIOFQ1uCQ0Hv0Wj0dSlioowKd1J3eGyb4GUIM+gb8SgSx/PpO1xgxAp+/w5eWy91hSO6
hd6NoTq+o7+tl75YanESNgn0Q3pM8nOsR5u+FZehRFzN/9elLo9oTQZvOAX5aHsGJMUEvnBCjR1M
4rSthBtf6+ouWedchS4FORrHuT+/l5jLWZqrBd8rtEuPND03IXw+XYz79kDq3ySXeDGc7OCGb3zN
a7seqjSUpNhqcQ672CLrBbKCJGJ66Wj7QkAnAZnVutoZnrWRMp4vv/7+xl6/okYlfww2/VJtAE6N
ugWOoV0EBQaw4gBV5iQ5/TGNinPFGgLVaf79JT+njst91qiPpdaJWtm4FP8MZQbVnwQFO+gib6oS
ctigccRsaRE0KhaTodKfSthMZMG10ZNpHvIQimPRs0co2rHVl+Ixr/YCC1WJ2RWfaVyxI/WHpdUj
bdCEFOoEySNGrG1CRG8UuhxMccNKzwx9OhTD0nWyamqYvG8trjSyBqhtbxo4ujPelY3vw5eieVtO
JeepiDDGVTDhYkux01h+7qz8IRGSfuJQiUXQPPMqD5qwJYQzmfwEarMtruPRfZ6XQJMQABISlk45
fSZTOP5vgQl1QgOO9/1dvTpqGbMKrSBa02hQ/xy1bUd+OOS92G7z7Bz1Lxa0kZDsZvB1O1mdV/Us
wO843CpkXhtA8IAoZFLQVb+cDMpG6L1M1mMbQvU5GHh81lCe+qg6xaMGoyuyPdyfw/df9trqT+cJ
xbs4/vC5u/5t5hGtIkSQDPkwZAlJwdVMLXRa49JfpNo6MKX7KM0P4/7k++tem/F+u+7l+TkY1KhJ
NTHG2NwtTbLm4QyVu1aWjkXa7L6/lnXtSEoJFJEYx1JmhYtSedWaBHoQymQrSfDYdU0785Gtu1Rj
5SKqiHHJfmmEudF9Gpa96OFlN2FmUDeUeNCOUxoTrbQV9yNKoR/pencfuMoeVmUXOwBOlQiRnyB9
uDperFIFludobwEaybksI8vriN0rYQx6AeAcbXiuapAmQ/jE3Ai7F/LUwktW7GmxReM2KXFrk9x2
/DSX6GYgEvuE7c7ahSlupFzgvCGBv55w8qJgnLLXF5IDMRsllhDqzo60dBuNjLuqJE2PYEikVPNE
a9+aQW0JgePYI1XaErnXztFdSM4t8EsyTViCKxgT4dSVYQiHSrdXI2897pvzQjma7Ii7krFBpMLc
9bqj6g7EYFWHIK13xD1kcyMUNl2ozVvws77g/RKGop9rXrUmY7baaYVHWhTmVxJ6bywx114aawyg
pvHA23op6oyirER3mVFXzzhdpcqxAUdRiepRy7QNDd9jRUTZjZlevjZ4LTQZuCEMWsWX44nzpUtu
IROEHhk7GeA9sltHnknlNIeE64/pUNLYgit9y9adgEjD2Nl1fhDYbhA/FTVtzUym7RuT2iEHvxIn
e0VvT7hVM4xoiXADixdeQg1QHWzWPGqwAEsaNIjv34srTgEVjwU6D5nphlrlxXvhCn2EpjKCeeTE
C/RTONxFKt5dIe3UmG9F/lY28TH1CT389VDwCNuzLITZfUqF3MWIKFjVsqmZhavkiVQ99FtYnZak
FuDEhd9OpEf00igLR1eAx2cQLyuBAIpIHKOhRXJf/cazv/9Sn/WlizWR3b4mjZspk/LPOGJ+m9Es
vTfjSlYiu5ODeU5RHZSaeahSoiwKuVtIlpPN0hh0eCxLBw++Amf4BHuvSzZIlYRLP+QYALXS9Mwb
89A1IQaibVpH4y7B+FKYdTttyJyGyTYzvW3tRychyvdeijFaUzEiV2ScFHC8S607AH+897rqTqP1
NWkcTp5Vaby0i9hLzlXIg4JSj8wtPvekFRgt/0SdmBtCa1D7qMKvG/dUvDKDoo1AKoDAjcbOZVdT
DBxXp2wUo88uCFIK8fvVPdOGI65JfkYjwt3thtRftd7aakEPpEE43Fki7IbW+xD7XL6ngUZ3O4IY
pDhjPmedo3qT+pM78Lr00Q/yIZN5m1T30FHhnpCsaGXUOBKdt0XzG2EWwFUlt5OXrYc6rpn+I5MV
gMokNewotFTSdhPOUqayTmUSchSPuvDY+YKb4q0BqAHpiyhQNM3INXXO+BQfj2WueGgNLWEu5hnK
U0F5NDX/mCBDmii1Kk3ajL2SKZjb0PpptEzBelB/uJo4czR2M0ljI2Sb5fo7xNKz67jrzoX95Aba
zFXS/bieNMYzMZjv46awipRjWRQHqa4/ZHp99M2PjS9LdP/5hxWxOnjs+du2WVlZRYPc20Ctb2au
3/66c0RlZ7EauGoQLqkWYkkvciJTLGNPHDLHR4iATLENzK+ssodo5I724nuS9j9vjIVrQwFBmiIi
WuFQe9lV62kmRGWlxHYXpBFYSGUC3vcxdstuyXmO++Nb+0YVCPEc5y98NmEs3VCWXNm0YBA00Zlr
44p+WeAl7jrP43GDZqU8vjbKXnQDxHBj5dwb5KS21efzAR/pxIe1fOstvjL7Uyqhp0MZlx3iZfU9
ocdet7Gf2GFNiGSWBLaawjAzAN3PlBx7VYoZaWtqTxrvwCJ2POChpe1kKbnPXmUu5STYOXUur5R+
jABsLCCE5HKJ2qqpO+cOWuaMwKSDbxIcyt5iya6GPWFR/GsV+4+f3f9wz+nDv6bE8r/+k1//TDOC
V12vuvjlfy3P6e4Un8v/HP/W//6//uvPX/KX/v2Pzk7V6Y9fzBPkMP2+Phf947mso+rzclx+/D//
b//wH+fPf+XQZ+e//zp9cOeACONW/ln99e8/Wn38/ReGNovKyn/8foV///H4Ff7+a3du/2Gf4oxz
ZHG+8jfPp7L6+y/BEP+p056gIU6biaJUe/7Xb8v/ZCzpo2eJIT0e4v76R5IWlff3X6r2TzR7NFos
Q5E4aI1SzTKtP/9I/qduaciokIx+KomUv/7X5/vjAfz3A/lHUscPqZ9U5d9/aQpL0x9LF1EVCl2B
UcfA9uLy0Kr+T+rOa7lxLGuzT4QOeHMzFwABelKURMrcICilBO89nn4W1B0zVZU11fFfTkSGIo1S
INw523x7fYI+BhW09I0VNOsk0o9KhiVE5ArX6pBuloxL9ipj58tuUQGPa+/qZ/Dc3qBn5Ez+IP6Z
vHF2DOGFPlTnryWdUHJd4rpFeC1urHiVCStE1yEQQrvKt6X/mK6zlezld3Z9RXF5fUHFhFfpVwVZ
wNhaC4TsD/fkP+f8x3P8PblaztEyuWyaQjD+13occdIkyZk5b8TZuKE4fww7ELc4q8SD+tnV3bcg
wKQok+hNi6THfz64av0WLnJ0lTtlIJAndPtraldk/lgRvM8b82oNe/G7eKzPACTE99bLvkNyW9/u
vo0n9bHwV+o+pN/8JHiwx55Mxn/PFUySi1QfgVrt5Ht2miE9JN2qOUW1PVzwUGjc6DTdGeukY6o9
GfF6xjR0M34Wt/CgPIDdMiH/MCAhAOVIvpLB1R9UwHxDgZk584y2dmwzezZsG9JT915ds2vfOAKz
DwTzhmtYK4g5oD0kMnsm++l2HBiF8MRfDG4qi02WWeGWtGJgFtfTp+qEAbq0b9bmTlllsPUkJAWf
8TOn440v+Tf62sc58qIjE+8dE7J2fw/MzXDozrEr4sL6NW1AFK4gTNFTYe/+lvdU2dtFpE/hHxH/
x0zUYdgYFn6QIjGmLWzrd7yyMkjZV1ouKd0M2aUpHzxTaLCufrNO48v0gMQ7OIKTq83n4pJ8AcAa
Gew+Fs+AVx8ZqMlfsuFZBJUWr7gcwQEszB0rEdCfEK2+4wqyj65ve8wlA/TQThBsetPDvSdAeASz
E2Ml5mqn1549VTnOIP2ADebiRRU9SHzGpX7Hs/ijePDPbQHRkLoj2rqeTi6+V61jPUZr4ZTthlOw
w3sseNBBB8GNAZ5NeFZCSKxMpAd2eClWynfsBgthB+CICC7yo8UJs/fw+sP6E7bWq4zUt3iIntvw
aO5V/ERBQjAK4rZuvp/XEFBRPTpWjC7Dhg7yyz+WMpCS+RWWibXKzhhUv4dH+QhWXwD6thJyZ7EH
02A/23h5HEaJYez1tDdfLHBdKuVc8Dr1BcTdeIIKpp7FN7l3tcdga9SYANoK3R7ZGSTgqD1XAsAg
tRvjQBVF3sT3bls72Vl+ZDbVvAYf+qlr9i2Y7hf/al5m+hInPLEge3aAYLf6KTsPW7F1M+UAE1J1
kVuUm/xj8HA6jzfVJn21Vqwn1ibsnPhoPVg3OLVFB9jDgTnoZLwdILcAiXI193JMKulU52Krn5vU
mzWGEGz6a0ayG17l5aYhQwRhBlMfh0e3vesb0DjgIjCHcShNC5BErYu2IzGG1w4tkdrVsJVclf31
s3aAjMob3ctdY/tjNM+FtKVhHQMg9MsNBeraqU8ZZKpteMR6FahSeMVrBFND+HI+1E7qaoELxUX6
lV5DN90ob0ltp2sYMRvMrODkrplf0UB8tu/TajNtwqu6DC/YUKyCM+XqgAzp2b8330KzQ/oiH/t+
O72Uu9FFpAP2zae8bQu4WYIYAfHE7HBDc+ysdFdiqWP7FsIUsY236VF8EeGGhqotPkpnCLj/vD7+
3pOR0EqZBHaLukDSlsjnD6kTXU5TG3SKFk3QAgae17QOfpL/fz7Mb4swqkiUrzJWSmx2vynpajxB
GJiQKnRAw/NyCIb5t5QMv+YmypjtBj6GOew/H5N292+7q4kXE50mleLaT5Xtz2enBJWqj1YD4lLI
XpQpwjUZDfCmHANoUboivEtkGinQZmAk2PioK8m8F8qA/RGumr0h6Fu1nJ4ZLeo3s4l7d5oyJNEh
smzxfTkk3Xgm+Ifgb9YgB5UJzp0YqdgYyaZXy1LpzTMgl6RqTu3IkpHO6coq1L2Ijek5n5WFsc2Y
nBIbu0T3/KppbnLZLZa9KMKQ7uENnBeAVc35sc0y3+MpBwAzbWSF2qtZXFuNmaZAa+SjBViwisse
NKMh2LUalFurbQ441UbrKWAj88XyzeqLbaCd4VwYXqp9dsGAhwR0kVoX6LXQAC4yr6janZgl0hoX
hq3R5bOnJzGYoxz3bZ3Rr4H2eLn4bQ4DmCEp7x9+Jv247S3LgWnnVuNVtbRYqGZLLcB6kctaWKFm
K1dSHX13dQuHnlzGjpjvSXCrPEY9/mH5TDZZyAyuFHBXEhPBWFVf9IV7Ik6ZN2IlD8uBST6hML/l
53AhpcQLM4VHzsdKt0UEE0jopRe0Cuwe0xvFHFPshBZALBpHMunjUqdYGeLAxmeo52nBteiC+jEw
kniyGKNJZYipnUFS0csYpLVas01A249D/KAU4JwXIgx0n2dNvgd8Xrsws1/1Ao/RSjAyuKOe4749
hgLSZ0oPmidH+q2LoHSqGRsFvl6Q/ggSeoYspRrp9azrT9ocPIkgoOME/YIZboRJe5DGX3S6H+cF
eYM778uol7cSFk547sQQJuXYPI4hqi4/eJZh58QLRGfmAZ4XrI7WvCy/VwdXQgPhzpEQe1qmrIIR
II+2oHn8RN30bAm51bnarCsOaqeVKmedm8VAk+s4oEGpXXFPOgoL+ke1uNOmvCviQlgLqQqmvahd
Mp/GURZ0UN0Nt7zMcAIbYAotdCFh/Jp41EUhfR5L+ZdvTECS8pqFD3WsmKyFpGOI/gdZ1OkPjCwE
C3w1bU/Ys8IIgpC3CNPnozSBx2bMuhueSjA/Lagxkz5oCcKc4cF1LnZYIPETfcEb0y8rDTxD7Rz6
7KsBvUU9Y6RiVhv1QS9zdlALz8oZtn/lIM3EFBEzATobw2jYMUa3NSYbjE/70mK25Rg1nm8EXrn2
FYf3eXyae22ljP3VbIYD8534G4n4O0cOJsA2hAPqsuyTY6TvM6PG2jhgQjXKsjPOm3jxBr6Bg7ex
bBpM1hz8H8ZTYJyo/MXFNGwZ0QEEVWr9asqlaivrOZ5sWbdpEl8Fvb9wpPKqfkS56K/VIqALmuA6
iy4VJ1XMQ3cl/QUbdzBmB3o52Ex9v5O6RqWBMfr4IeWuKQE3nYrIMxbK1c8XfZJlxhlrYjbZasN1
1ZoPPlbOTi5oOMZJDbO6kwIuCnrJHveAZGfo9/iHrfXzV5H5kvdZviuiLN3//I22kLZ+ftfLn7wR
MUJDaKMYOInw+6CsBjWzpVQHWT7HBfOFZPWrCmTBk+U+ch/wcpxs8Tw/NoNDuEgIUG6w4z0WF2uh
KSLAJmT03+TrvJHf4tJtVvUxPY5HbLESu9njg6JbK+thphgDl/hteuLdrw5ArcfvGm5zT4RwUE7m
m11cQuyt3rB0U8/hvTnAcTh2cK5OxUe2J2QXQc/Z8iscLv3VhIcHqHVFWxo2YGWejXJtNDYrfYbT
DVPTkiO2q0Gliu8YJ/HBgvyx+AOjqkC+uLCvQ6aoQOld8CJESQnB9Y2a8WQcJNYEdWUQIOJNbWsf
5oP5y9xWX1H/Fs6rBMBh6+AKIF3670pxtdtwkDuHxpmwGAsT9ThJu0pPlINuxTOBfPBg2uMNPPxa
PEdrAxc1NjH89S7Kd/o+44rrmB/zOw52BuYiKIyJtOnfETavJH3V7sEeV6QqXr+Xx10R7NKeBdRy
zPhkgNmmeyDtcSQJmCAD4m56CtHV4CoN1h60EDkdt273lu/A8u1t1lINBJ3KVIJdwtRBw4xPNR6R
7qA/aBJFw1VyYdBk3mfuAHLHoxNswCSEFp870PZGQHhcw9INXtJ2Xa40gtMTEEKDEdst7Iv6FQq8
AkpwcMAIQqOFMA8TWjvLOzPa8uUI67VogGXYuIjBstJXwyvXOOH9mmgU0PPZgC02UQN2njxgVW1n
EGyxC4Qm6UYXbNQZraQnyvhMva8/CswWPvgxDVw7wCUs42dL3zELQBai54/U7kbrTTixhFknTdvp
b0Lp9hsei0zYcomhTGfBk3FSf0FMBk5KStaWTNAgd6YTTsxoPhsnPDqa+GRGe/0XBvKX+eYjVLGb
N7DpVf7YMq644tjBO6Hva34ot/0vcrK8cdQvxhhP+jG7d3jfMvfxMlyjkb6SYyEjs6E7QxIY8Mhx
imvp1U+QjnM43m+8AcoHPGEZ9LbkdBU3jXTTqa4VgPcVsOarRqg6r2Rpr8cuqDl0Qi+9YQfDpuTz
7/i8YneUaRwQdnOpXZxpDdF+pp1UVdBn1tUV9ecUbDlNfnTfPxTSK5VbHMtNE6o3/FM3ThwuokEi
eUpqRzswho5ma4cFeGeS13CnPH4Grg3cILxe/FuX3IJ5jR+UnqzTbi98qLlLRVjadLBlrXVFIHay
zphx4ImVjcdx2x+SBkalx5MLdUAAfQ0/OfFg4u2SI3ITIpv0F86q8atoHTDUyTfktihu8HsV0bEw
wGL7ZHN2SGyCVgSJqA0gBKokOnKsJ4SNzJrRfTDItsmhJYN0BkhsAAl4xRICLvJxScAGd7xFpZ2c
W8TNjoAFl8Iw/IIKlsG94hVr8ogwEOEOB4RCfb6iiM5TQ4pKXcBN32uBxIWGBlRNMvJ8lyTPPaaO
Nuo1C3Qvkh2FdqqjbOm4v+KFudavWBburTesUujlaNv0iJfdNaeu4BqHPTIYnBgyl/FgrFQe0gv5
zFvrxduIsS1MeVmwV+XKYuH+FdJq3GQnlZ/bv6pr851zuJDpmihJdv0anVJQctZptppda0sXYzwj
7phqptq8vPDEk//YApJ1KKeTAiLmB1YCzFl4q/baU8cfXk208PZ7uG32PoUUwoSLP7pWR7LNrNoT
nucmFG5o/JZnfchudmMLbR9yFEAHLJ9Owan+xP4BMwb5uLh6nAUFQYSrXsuPbqUdWWHVZ+UUXTE9
2uAdFig7dXJ9kHaTPWE+khzKdluKD/pFPRpPxQ3HFgJMSpU5Pgs8ddqm/kVqEFJQqbfSq4GFBR4V
/okdhlIIOWL00VrgV2wLOwReVmNlIKpRnQxEtL/jumON8lrtgdeVqlu/SooLHSM5myetdWqgocK6
9zcwfUfJ4z75oce5FHBEx0OhbmX6IYYNUNfvvPxIWWUoCBYOZJXSr6b6IKqwqlXRHtRL+CzYimlL
nnmR1xbmCKuKITRoZ1Dd4UHSZHbrzq63obxapo4O0SYiIrBO1anG8FVFye5IvJXffb1Stjx2AAg/
s9PPMqe6wS57p7oyQN54z4INYZHlTg/wW3fJZdFxSh+hwIzNJRiO0ftA4JXu53rXwhLGzAFBYaof
Wfy7aRcke3947iSedOHbXkSaGJnED6w/1oQ7gPWc7PqnyQ0/pRfg92QEwzF9owKhvEpnCiC9Ykvn
dIv/zkWC2k48dwne2ZdYDBTlbmFSdOzPxWNE3+iz9YLGyV5E0TGtlU43nQswgGw5cXJtQCoY2Lrk
ptgZXgOTKNxJAPSytxQem4rEavcWv2OdnpwhwAKxefX9JyGiGua0W4UnNpZXGuZZ7tzZ/juQWTRx
ueSWH8x4vONdqN7K6DF+MMu9pW20Tfy2BJ6YF9yRJKF7w+a6luxkF5/BhM5sFC/SpvTUdYcnKZ4p
TrUR1+2W9LQ7RskqrNeV7HVfprbC+pdlM6hwO7G7N/NJnE/+U74xXP+t+2ppARIFPNPnwgwHOjYv
SnASXZBfouM/FBfVCR7LA4bhyR1GbvWteN17SX3jm0nJu6xcMH7GFnmYuez9HlkEuwviocqOLpYz
PfTiGvUgYFB3ele7VXVlVVcylkknoDZ2Svb1U1/u2EWUjXnTKVNmtnWmoHRXPPGLP0jaegi2I3Vm
SqzjGkpfjHOl5PjPQG/zvfZYUiwJvTC9ZF/KTBTrZl+aYefJBR1qInn4e+WeYpwQbvYPvb5dvLTp
dKmUW1L1o59FkhPRVoPXxTurTtigIEZg58qrF5HYDsiIq0F2EgTwKSFQFdUk6qgBcUyJfcpqdMHV
40SC/prjZHesle+m/qzDVf3AOU3sUb3jb4MvYpj8XBMkXBS82GhlEyXsjNata9fChe8t7ohxbdju
3MZ8h0q45dG/LjAzxMvP/aH/ZXwO7z5iC7REH9UXWaOFRQuC8+9G90Y2moGceUctWXsJINsvu5Aj
rY0dPumr7JCtwZ6AodLt4ZQQZtSlm6trXNmkflXuUQ1Wp8idwbFLnvpL3BIiRtiuOMFePQJoahen
HPj5p/Qt38brcHSaD3jkBmXN52qPaQ3UOHaKs7muTqa5xzDpq/8yTzyVkN6z5/kYHvNP6zk4t0eQ
8uqHtY1u9YFWO/Xz6oZHz5R/S/MD2L4ccDN0+3ibw37G/vjTMNclbQqLVAa4Lg+6gM4gyhSnNwPZ
UReHqllWuc5jpQW7mSw2RISxHxazq/HnHySxPfZZK6zFZqrdNmW37ZZ//fny830/v/v5bziisZAn
0IfDxUbLGhez7Z9/LowZK/XpIQ3azZDF4aURJXw2RmXFsA+mmqwzgH7VlSlirmPIXK9SCcY1QlBp
FY9IvYHMG1p8Rg7Di5016AlKKVppIHAiK9zrKMfd1oJWLaiZiLsLO8gMlQI/lgrvmKRMbLlPUF1o
mNd2euFFckxEJWBS5k+i2xgm+JUatbtvadQ5/TBw27h9kwAGu1XXDE8SAsYoy1OvkqmwI8vwnZbG
Ft5Ei++TXD81DUZqhW/e5VBl4xLKVTApq0XbugrqVF6hpsGVLa0pmsvIP5DKwiaKPK1ScaaMDQlj
n5ZxQnw7vUqLcAXN2QqLqmgfK6Ijk8arBVHNrkcAt+mokq7BFVE79vUymSmkmMM+jNOLsGBJe1Gi
sdkobzr9eFTDuK52SbjNJyqZqhA/lsWwM0tjb7A5+WG1x7p+Jc1IsyoE2ex2/iWN/HdVSZpdKwMK
gQZMo5n1D9dpL8VpIijqnWwUcHn25NcPbSmmK1mdKYnLWeJOzHDa1kRQgQJ4GwzWNcwMjHSizgt7
c9cYwcEvx1c9yeVtPwj0yVr9wY/vaVfXO9+SvtQS0y+tN0e3n+J4LfoR+y+OTJ2avgEJXIxeesuZ
zVKwGe6vXcEfH+fgkuW59pp1r40Ay2YU27e8mykvIz+L/edK+5ZwXLSVAIlMmLKvVgki3Nr6ZkAE
w7GxtgXBp3KS8xkyfMCqEUc1GT+3MZtfhNYEeD8q8BzF8Hv2NcpIZENmkCJnQFTjU8uDlHqtmB7b
dDH6sEqARxXoAx2GANOq5WAy6OYErynZwq5mHLHnqWfL1cPWUyVLcKJYRmQWyhuxpDwdKRi7J2rh
JDkKuVred/PLUAkvfR6emE93ewuYZd0XmFCRjP383yzWvkVzm0iIW0oUCQ31tMgYSflT85zq4iJF
FZ9Ra73mY7LpKhchsqAS3lfsOtNs3ViVQ7sDeSuWxqfkNy+FNuzCjIS4zAlRlaK95pWQsvkA1jMG
6wNnGgnYnqoTGkd9tzcKAuYyo4OAY5Wlvlmp9MroU0MKSgOrjQZcZ6ZD0XdegBTPQZVBZFVFBqb2
6Vqqs2D7GGo0lYqJjC4Jq3UhRSQzjWjLFcbsk3FjUoW0yaiJp8W3pBw+4pGdxsz9NbMkpB7tVoOi
Xcs4FVsxxE18KSuMtO1YYUnBENJwwyZF+hrNbpspk1tNcrsxI0aUrTzSd73EBmAEz92ohmtDWffk
pXHb48EiiJeRbapprMVf6NkP4ztz0OAzJSNxzbbF1EZJ1kpTsi8yJgpfk7qFECg5fkNU9PCLXlZW
bBrBAjLysxIV+m1BV55NoLDRUF+lalrKZGghpwZLD6l9tIaGQSNxuGZqi7ZC1slkDFQ5ckPbwm+d
eMBCBkpZsCknSrA6RixScVG4tDydqC1rlZBWq1UcqpLuBfkI8UhKL4Y1PDtY1U0xSdGkPH4zWpQR
auxPJzXPnDgwn2FcHma9WfmQizwzZ3aWcRh77PH+1gRhWsXJJJ9L+oCCWPSebkW6nRo4aVkz1Ldk
fEIrTEkhte5VSuZahNl1xIck6rlXTDPX9jRi9KAm1amkzNC2/leoqysc4F/KAq/yZsKdWU/j2C0n
GmuiOu6afmc28juUjueubN9EHd+T8kRfY1Mupt5m23xZI437jJGopiLAz4/FpFCbyYKj81iY2jar
qifQt6exrNf9oNNpa8Vhy8wZY5s7axLvwQKhpiqPdUKEfYfQpBSbjPQtwXs1oftba+ExLXqsy2fm
6gNSnOntrk+YXWgVgX0TVk4OKgvIrHxoO6oizHWQq5rDY2TmBB5xdBFxz9VSDWVsRdsXPr0zF9ZT
UMf4BHYTG2tSbppm3rZ6v/PjGjePGoOhWEwfx75960v8tapsJjyRA5JlYqIs7y+FINyhi7hTqJyD
Pt8jnTgPDFhwN7rGnmNSSQmEvmCMXtrggKtq/FHPIBb7ibgG5YCsJgga4qjUWBVWdkUhtyhtKKvV
Q7+HMnIVjRFbaDSJjSatqwESrDEMVH97ed2wmtm6mVDu6JWTNMu3tJ+geKtJZ8/pTtPy+T5r0V4K
ZmEbi9IlwxKXgnN5xR2UJFpvn0aFCq4/GLgmJcTiKgu8bK0VtWGKpUvJm+i1BippVW9o68bHgKNS
sG4oN4oiYAVJoU9JGaqLJFB1ablHvvkkcP63iOJ5UiSvCTBCduKQaJGNTMoVzCitQdyqPQRESyhs
WckoIccK61StRoz6k9gbDT4vra+z7QtdsY1j8o45wuE1iCPPz/v+nIzFro9NrJAHBmACGWOCeQB1
Sl/HmSgAqZFMaqhPdzXBTm8Ys9QpSni1orTJCnOrxm3nmoKEaTqgF4rjmG7P42pAsbEawJomM856
jcj91/2ZWWzyMqgkOnBG4WFS22yrlWq8qk1Y8V1WeFVh5Ot4kL+HqqeMmzbO8NwLouaaOl5EE6Ya
VdMd4Unh64xj2KwyJWK2T01mUtds663fmZuUOTzq79plyNhyy7nbRiNSaC4RPsXGodR9YVUGbDY0
rdI0eqqmhjem0V7kEVicmGRviS9ehzqc1ggpadRZLwbqaU/uMWJRBt+JrCbb9oH+qpozVYdYWGmS
gj9Blhu2xEAot3vwCkl+ZbwIWrJOTcBcataanEIKE/bQ/ZhQpwPBwq5haVfyGmcq5hx5gZuFKf3q
MFc+qnGzpo5f2qFaVh5qzseg2Rap8aHLkbhqcn0XZNN3XAS48uiY8fhcoUJV3W6kviYJRGwRMFVH
b1CmjrzVRvVpVBU7m84jwbxUtmoxtV0lnpRhlSf3uPXlsnT1xS449B2Jgoo6ovA7Jkbj6CnJYtw+
cLCwGQqA1EArO+mRQMxelOLoN9LRmAbqGuDCj7JCZMDCdmRYEotg64IanjnqaZ7XUd6fkfYKpkxf
HijFeq5zdddkg7r7+d1f/jimxbQNYcsB5PiAl2u6klJpu8EM//jl5+/MesJuXAzeg9jPdj9fqp43
gAVLwgSDqM2X5DexK5Rdo+efGvMlnpVY8qoXBdEWq6DdaWFPhS8MSEolEtnYVHBq7QUXURU1zZTM
LSjbXR8ExVal6qSl3VLETf/zpZvKi5AphjdbAiNh8VTntowhwU4OFf3fX/Ic/Un7ZkmjsRP+z5cI
eYHKtNo2bvR2ly5fMnnk41QdTl6a+JgNJlUxRcsfRH+QkU5jMIezuPrvmc7/kbbvGH3WRVN8t39W
8/1ZEPi/nouMX//4Lf8/iQRBCtL2/3+LBI/3prl/hl3z1bbNn0SC//6f/xEJ6ta/mMQzUQEC94Vj
8gedoPIvDWSXwjynspAf/qgTlP+FLpYJHt3UmXeDevZ/dYLSv0CAMIgGFUFfUPb6/0Qn+PtA6cIv
BLAiIdZgNFb+s5DBUiYM3Euh3Ij1cCpUtMg1HamwXF7GAvsQk2bTHy7S36j2/u6IMtAQsC5wx3+b
EU5zlaGvUcJl0G18BAdkOle4NIPa4yrko/D558P9rrBlHhktJvQAZtpUc9Gp/EGHErSCP9cloYeU
emqKK4NgTLdyplxVzbf/8aFgZ8NTX6TM4m8TdL2RSlbBmMNmapLvJE2+fSH6jjBiSYKPfz7S34hr
OJJmMuXJM/DbXWuxVWjIJcoNo66Wa5m0Rgh+UicZo/92/aS/kbqYuoQ0GcYlDLK/MjiCUszUIuSs
FKA45PDizazgPTA8PIpo7/VKZB7H3EoIMEhtiE5744Q+Bo+7/4YD+V2qzXy3jH0IdxPNrfmXCVCj
z0yhtYZyw1ifJzIBr3fTI1qfmyRMt7EcHxvV+PKR3v3zxf6bKRCOC2tah+GqW/B0//wICZJWINkt
eISEhCiPbMjo7bgYHqt2fKw7arh5cIjz+UZi4NuFgMezWnvlNPD+qGjaR1N/jvXkv0zb/f3HUheO
/s/AzV9fXb0uOjkN83LTqjREg1TboFxfCG0UBkWz/dWJx66u+IsYT0hRZzatoCmTLJZ3Xf9kajQr
5s4b9OD+z9frb28TY/IsT8xQsbz8+XLNXdxN4HdLkJBVvSl75E11t7RIScQHlTfCQCkot29Qd/4b
pkv6faCAW/WHYy///oe33WTepBe6tNyMmnIeRFT7XUAKEIyCLdfjjdYzlyLGXUnXP6Lomtdkmv98
9n+z3vzpE/xlQR2SLCz6nE8Azpm6nDHe9DG+zwWVhZgl4Z8PJos/49x/0nkvZgom4mcLNTIo5r88
nIztaGZWlNmGeULPqIy9XiTfg4gbwST2FGyrbF3ljIdEVxg9mj2FQuukpG0azerWghjGXP7e5P9M
6USnnWdHESxsxCyvbMRbSUHOSvpTIHaPqtI9FrE3asUL8zffVhTfdalZeo7jbU49Ky8OZbDudMSP
qNMIFPn+Tp8Wdz1HHgqs+ZSnaUI4Usiz09Cszed9pfOAJgnfpLVIJZTulM80Rw3UfDgiEWf29Fl5
oZizfFRVhLqy7oRSuEmliK6GwqCQaOVHI4xogKoSbuvTfWhGmOnUHWnL+cW4LSw+Y05uMSf5Q2sw
3SSGtOGzjIkLPUxInVG2+IrXxPOtrTACa34lHfU6CsWJAmCktzzyvZaiU+/KVvydael3waTd8jzJ
Fo+wBHyC7t5F0ZpPc1mKlyuD25TshHLjlUOJnZf8KRggQcQ+/NbDaA3o69g05BcD5yWN+mYY++eU
lElDI1NzPX8Wj1bHAbmm0ynUJZW6KbtLHJPpDbBurHiDVfMDAOdKEWUVsbsPAidnzjgMxpDGe5pl
+JYBtqJ07BTSmNCI57YUY07tsth1PgvYcvl9Lf4eSHHlQnjW2mDha2bfdUYcXIffQIwI3Cnmq1TX
UTRgUNxj3kjVTh05VWFg6dFm8dZH/Sm2vkaT0UPNHLCJZJ+QZ0bNkKfHpbWrQulcFt1g+2A0bN+c
L6Ni8sDON8vsHy1r3mQMhocJDTnNaiz3kjRAufQyuFsalyD3aehEv6p+3Ktiel8Okc/DYzgsD9pS
e+V40VS9NzFyZyG9K7O415YrRfBDVUQ/GYl4E4aUErrwTd58l+LsTspNU2u8VRVyClpPZhFclEKm
XlhLj7FZr1QR/V8V0Ff1g+6SZDTrLQXb2QmrGVslWXLT4tDnIk1TM9yregpHg/Bi5hM5VDa9qowE
p6liBE60M9kdz3pA8yPicLLCzaqx/lpXyan4yiRXetAMPAFbUjjeq8PPpzcSzm+U+sdl342rhjLT
XabxOVfVfcBrcZjUgwWQDj4Rg+yqTBkwFG/LowwWgVdZ1E9Ct0j8/WwTS9ybiEAVHWPgyH5/U+q4
9Boi/20ST1cpyusDTROE+GlI3o0nNQuW7telV4m0z+ViKTlBmf55HOmofFMoowdF7YlqUArLPrgY
bS47vrHM5C1LiRml34M+3qyUd6XYsNzaQTPcfsbpJIG1GHwg+qV58oKCwgn8+HvbE0eoScHLCZ1o
mp6amZjwZ9nql60ecRflBh6hkoSMOrNOCXO60ccpVmgpxE/k7H1kXMSZakhndI8OzYFvYLgk9SJL
X1sH9OeSq1End6FSN1XUvmvRjlL899DzuEhBcgfzg6BGxKKyWzqWAyHwaC6yKjDD659vsLp1UA28
ZEZ/M5cTbQU+1qjz0RV4QFQoAxc1Hm5FgnJqTMw2zWk/Tu2hnG2aRXZtqKo31+NerCNhlYB9FDuu
jTUL3XoQN5rVu2NtyKucToo3MAOOOiugn1KPRxOnoNU0yjc9Xd4uHUPhZcXU245SXcmbPtZhhgyg
hV3VSuS+rU+nhdq/f5y1QDskAhemNGmF0tgzC3XYlXJD5SccdozCbY2WVbQpl22yGH0bKFzk6aLw
zLsVrWOqsJOAtERum2M14XFvhtRUg1J9Cns9wuKjtNy0jK9jwMCElqsYo6ZcuFQS3VjgvUqxMbD1
YbqJy1DhzwP5E7zoXfy9bAdiln5T64VFx6VhiaP8T5+0xfXTF8GL5Uvz5zL41n7qYi8dFq9THa/s
f9+iqX3prGxNP2338/CDegKMuVM6wbSFiAcqj/O7xDC1K6UUzZsJj1xmMx2Nxzoc+8Itpu6r84He
a4X+VOXWtB38eCtZmI1HGf1PPOqg2Hd+4ylBfa06rkjQRAjBskNrCQB5KulD7xpt5c+0iiULIV3T
yhUyvEpeiQOxmRIIayr2ETeQAoqGB4hpZLyU5WIIPVKOq5VgZ2A6Ai6D91D1W4YFoO528Yz7CLba
MJY38YzXlUjDclVJJt3XnI5pTjEpbKtxtfSieJFlp9aLYw6VDZozYbs5fVVmi/sA69bEnmn7/Zcu
ZrmbVVwkKpPMsyqh05lj6SkaB+tZzKtY+d/Undly3Ma2bb8IJ4AEEkC+Vl/FYt+I5AuCokT0fY+v
vyPL+4Rt2WGf/XgfXCHRkqoDMnOtNeeYxIzFuD5SpryX767MuIeGpfsqnJe26W8nEuIw1jTeBnDl
RxqhOk/N2CCUu94IEK3rKONrB2b0wV8EeNHG+8IbD46DtfVyJnLE9KkSSZGkErWZDUYVKYHjVUaT
GiEq8R8R9UU02huHMe2612fZoI+Sdf9zMnNmXP66LHhTiVM+FJ37UkzcAmSJPC7FeC/0Wi7dm8WU
JNW33KLhaL96BXOPyxIke3whiUXId4VXyxPrmL2tauXL5Pk/s4nblvntM1Zdc7MUCVaVpQJzHyvN
q+ZXfCvZpvOnc015sHMqwAwV37ntMHxOw3HX9f05JO9z04XFU+dW8dYLun7jJjmSZfZF7FAuaMPw
3MJm5A7nYNBzL28KVNrnviASt3gUzOagaNLYFmV7LRb/c87He8vzGQ4x8o5S+n3h7L6H2x5xVNsZ
I+4X5zwMdnWg+Ga2OMavfkszOFfJeDZ84Cu05vYMaK5EPezroIqvw3oyN8qNUaKI0NngcZ5RO5ef
Md5XthpcwgWm5th6UUwK3DmGvD1lzzFb6cZE+zst9XGu0a0pM4M1tyDNrFAmdAyv9rRgS2C9hkkA
dT0zQp23Zeoem8i+NlvxWIwuecbvl5oclflqLGi1997ebwNrF+ZTs87sM7Mrlkwp7uTUFBurLG9T
t4v30vAPVYSkbB4gAWUo2OPZf7HiuTwyE9/UKVOYMO/vTGvgD3sESIsWzUJeX9VOX+/AWjP47eZh
WyiE4knd/TBGjEpFAuVHdLvYjtV+qvIrqPs1N0X6oABbyfzFH1GeVPrI0EzsqEjVjXUVGEiQS3eb
B5jWLI550vvsJrYPs6dt3o30/rPytrGtc+A5xTo2Gtzmycb0OW8Nk/PqGMaCrJGV3AhTDlohhUlt
d9z6Lvf/rJDW5ylK3FJP7nhCVSP/WSqJFiNlCxgERF90+cU6IfMkgZehsHUvs/L33oxI0Ix7JvWp
uem7cqTmwwTYJKY8RFOzI86xPkdWeyrnsGdHmnZMa4a9r5rbdBxQ/uMI3hQdgl5Ye6gJ6E+bw/AG
kKKDXDMSFAxxFaVYRq57nO4VwznPr8yN50Vkvg7JtjURb7YjebphE+/HXh5KIyDMmh1m00UBfrgK
/bJhgBoJOflZRvB9aFMuJz7UtaOf3e0YpDGI2ko3+rIb78Q9mO0vOx3ZLhSZqNE6t0X4M4XOEZZQ
ug/pE7CcYWQtigdRO4QO5dEp9kP70Ct7E7Er7CcD/cIkomuFadEOwmei2fLdPLTfs9ogRTvMIwyI
6XuZdWprZ681AaJkgA671Go5FHVxuHcQffmdC5Q9jXdUb9ht4uHandtn5WNDm3MI3cCqyo0XTBtT
cDZYmEX4EyKaouCYbvX2urC4CBZ9pMTshPyxJ8aE8gGiofVSiDRY+TPHdINjsozBoc1V9qE3zN+6
S7CwoVGnMeefpOTy4V5H3uN8G6RAmY/SzNWHAiIMh5W1GFelUbO/C85ZLrrfAYekOaYsgnHERF4f
W0HcwU+aeWUtKmlG2AHVDP4TRL75eDcpNPCmp/b0qXmlNl/QaKxSznhkifOZLDY+zKK8Y036Bg8P
4TG3SafB1L7oiPuKkxfhc3hLw+7BWjWl+NnNvO/GrD9Utdcn5TIQLwWzLUcwjHELc9jHJi3z2HiT
rB0sgvjbAtBfi40Ihv/IISLtvkm+lgbr2xAlxTbMgluD9Gqm3vyoGknXymsGNRztmoKDRi7TjVX7
8cFAn9M058gnMwomZYV8K3EQ9g8OKjyb04XfU9/lgbENyAkLvLZYGYiJM4OvMdHFVq97Lb3+FCK/
IYks9jCmJt+X0nyRSQON3E4/hMPnPy4oB3PqNMNVyanmG+sSZCAZFQkefj7cMrvzhulm8eRj7rs3
OKG+sKawLHXbwa9vykDfYnJ5kezT6ypGoplUyP37+lHqMmSc0icoZTU5OFm2s/x22bikStpDcTY8
J99hBZ+2QVy8zQ7gXupLwL0WiSCXbmioaZWgSznupTz8dqTqCC1MWOcKiq+5NudV1QZrtbCh6rLU
7dQ72gIDU2Qbg7a4XKFhT04hjqyrJM82fhVMwAj4rvXL7n3m+yUizcGiWhhMQnNs89Yd7XIDKSRb
u/GMDML1HiEAHtKKnZqc0wc7VyNwNesQ2uODPc7EJnI47j1tFe51gbbL4/jLACOzTfrhIa059+RZ
yASsvHZLJHayHVCAiZfLd9DHOTRACIRRr1+DXleLUtcWuj42o/mbwziTGVtJCnU8E7CoLNTSGKsu
VbKdLYfJM25MbRZzTZrVC/ehNWRcXPpFiLbcKF3aFm5OpihRbXRp87UuVqtkuerls5coZDjlfNKw
fLfmnmjlfF8bxdnz5qss7W7B9+9mazkB78qRxvAn9D+t+x8yHL6P5bPj4pLr52yTcI0UdnSnaOmR
e3soe/+9GiSKYGs6Q83X4uX4w9Yl+hhyJAsIKNKbkX7xlt5zKofrVeQ0KhJ+bsXiq3MLzOP8TTLH
6fOq/kjnWde7uMlbLnjGXTdBTi/Fmq783LqHiOvSgpmu7YQd05C3xpBv+OSf9YLRF2CIzHVqstp4
k+Wi+EEgpss2o6bQ8bP2zEGDQzC1Xu9zsqofL93kOmSla+S74bs0zwTlZerMV3pfFl246pbiZzNw
T+uifig5svdIWjyvVGdYC+wAHclvAaGNNSNBjhgKndvywhXM3wjteJuHe8uc1pe7dtHdMdg8P6qu
Qwytywjfrq+q3260nT/BnG/f04kCRC+0FVz84UdTDw96KdHfarT0B7eUH9DyPhLrkwS6ddi66TrL
CpYZ4xaBxrWpynmzxLxt3YIYWu6ecJoepPeU9tEn0aFLQVelcUXIrs6UmiVj0Z/JENxPy/Sq3yYe
SnrKLIpV595In2Ym7lFsHZwP+hY7CqdWNpJnwd1RuzQqRsdJtxOIws1lNmB3tYecZuJdBISpGNby
Uhvt11RlD7Uqd8uI0zHi9ifthOIeethUl8ZaDzBgKoarphWnxKTpNRSvs5sga8moO3TDR4bR1+zQ
1YBXbgDaNI6MevYWh0RPX9qXhxjUh4VUNi97pD5xuyLTHs6VezNNXIJtzYCJgcXWHac7z83m7aWx
ED1lkvF2IHx0ZiMXXhhTgHcqb9cVF7g170qRETDFSaCH+cDJjD57Stcjz5rfOh62yj+Kpr8ZMrEb
6J24UtfWXJViyvetgX6jpTk3XdpnyT5WNhgLP7geCaWeW1Z1xYeTIFTQb3Fqxu80D7d1M26zngF2
b7Gj5VbOFN+6vtwPXeDwFTZU9mgosfv4GzfHbbOQSZPWM8+cIhyf0IMSBuWKg98h1mJAwO3Xek92
MFAb6lI7wJs72dnJosc4lNRs85Rla8EFrct79vuhDr/ckIVbZsu2HymLUKYcm7F/yODezZWwtwbN
f2S6DvSBAXeUPlFLurCXSivUrbJsYmUoKtwOhKdskFcE3GUKORv3dc7A24lpuhXyPBpUq0nEauCG
nN4KiEhDFdKcivhCZMYlWS+ChZTOXQ7nOkKvQnlqYHOEP8EWuq97rKCNwsdQz/EjuGa1T46kyxQ7
4lWNjUWBjEjsPnI5TRYdA/agvREogKRO1Rwwv4cYrYZWS69k9qNoBuvmUnvij93GCZmeWctH1Hn5
c9PN5zEZ2aWC3lhnXW6hpfU+PCvnxHAT2s6NM+Vfly6NYfCmmyze1BXZNq7p+8jPzbVE9rAuaE1e
NjuOium2RnYVS0pjJYXaJgnH09n74UV+y9fJ55gHDhdN4v/0U0reJsf+WkVIxHRDrKroRjc2n12q
4ApknJGxL9+VCfZovZTMehZQKWZIkVV8cyb3C0EeDUS0AyVdhNiOvpLqLp/ZQpKFjtJSvrZLd1sZ
lN5BSfz2nEkWVK2KDzGXUeRdXWrmgoDO9WVvS12O0Z3n/qxb+Ce6Wb3o1pSQ3JgIhNAGl7d0GVYM
q4FQtf2mCdUOSRhwb5mwZ/X5R0PCtj8j9fWJLbvsVWRZroxqub2c5i5vlKPXvKmkw9pMkUdnNlf6
S7c7/lEHE0ooiC+w6ofWr74rBoz7rMZ6a74FkuN2xRAgCLN3L65wqkd2QMvB+q0n4DqcJMf6WBZh
ttZX/ZQ+1GnK4cvPuCvrYt8W85sBFJwQk/hmUfcjZlC+gKC7sjPq0M4VxQk9EHspS2kjMKbkp4S3
dnKmo+lXFAXN/COwvW8oRKsd5flehni9HDX361rlrxVu9bBCt4arevK5tCTiaORo66j+rDLD3UXy
NsD1bpjV26Jt8LM2xAc441ttkS+0WZ7lctjIGROriMX1ZA7942zmz3mKRSuX0yHN6NcZCkDF9FCp
yNh6tO+wD+A9QDMi131pNC/tsluAk5dBi/5aG/shRCa3AV7/nN5Dr83/5lDfDCkieyMbUI8JdItu
T+RuFfakVtRZu8ssjg0JTIFWwwUE6YjREC3IdpjMVRpBECbjEwZi95gjkYL1WlAefRSj7WwC/1ki
kpQ5AOO2Mt470qHpkYYJFhNfbSsz/ZZrycmoxSeWlqFgpr8rLsoUH42Kq8UqhZat5FrAAhIeActF
1KLhGQLBy+Uh0KqX/q3UQhiuBfc/D1om010UMyjZaHQUyGgG9DTkD7qnywP4LPckuXNGLb9ptRBH
osjJtDSH8M1tqsU6kZbtNFrA42opj6VFPaOW9wRa6ONqyU+bZZ/I0cSpz823QsuCUDchEIrwhJWj
lZ8uD3EavCktKBJabjRpudHvD5efJVqMFGlVEuokIrvB/2slU6eVTJdf/fJbW4udQtmc4rIurhyn
JyxRVXRSi8Q8/f5QYUWgoUiy3VAHtHDqKW6PCV7JMqjQrA79wTZScCxRPdYA9FkF7PichvZjPkbg
bFS/m+wJl2kUn/NuFqfLQx+l9qkhimpFpzra/v4/koAnylI6GpZhW6fLA+1+8duv0POB8yUh2KJT
qXuTpgDFX8f1nTJMhnuV+dCmlvlQAkfapQWtwShwj1FReOdUxM+224CngEFO4QgD0MjMECyD/VBC
0M4ns3o03UYjyqcb18KtZ6dZclTk69CILOK1i6B47ReNfS8tQ9zHkVltXUSgW6XAVnVQN3ZEY0kW
nVnpADG/44LSv6XRXt+NPMfld9MorS0dfmMzqsLf9z0vJxzn6mFBLPkwOzjk/JI+xeVnHmVYp3rw
SsbtlJrl/ULyQ42H0FviN8css9sYoil8VO1CBwWwWpzUYSPic257DVm9/FIW0Q9rCsXW9VqbEsCy
iTjmV4P+Fv7wM9Ntd0PovPrjEiEoR0w9Cu/NMDFzTCqtr5yC7FiwPZOKp9OgHy6/Qr38SOMMaEDF
Du615nQK3ewrYdC+TRkbni4/ujyYqfrPb6sG6bVH8hhpPnl2FMwZBD1JFG/vvMD7dOAqFyUeMJk5
N/M9NN+BaRMP/jx/sh2BRvKW4HEW+3JsHqXRrYKmnA++Y0Nq4i729N3Zzcrc905yRr4ccvkF6EKL
bkfH/Sxni5+IUHD+l+a2m268vkmvpE073G4UZiqWmk1U6/Nps507KzxdtHZtjHfVJWoQiKxpHZ0Y
m1nSn4bU9UEC6NXmIpcrgxICZ6/VtjV++jANok0lyE82qSn32SRuIj8B/jiKQwAj0Uv9XYD1nD8L
T0qz9FL9T7kmfN8k92/7pIuuUjLJ1vFCEsiwGCaHiOKzrnnuee/0ZKINTtODLuAHoUg5Y1x+CfsV
7LsfJltaERO+ptg5eWRTnS6/ujwETvOf38ayErtc+eyc/XH2qnlPxthwQkLOk4zRf351+ZkMn8cQ
ljTdY8T1wUR7HOk/qv0qRvZLBOlWGBK3vNW+zxYfK3aJq3we7qoofs0i+Fs27u+oauaDFXbPIvX4
5smKnPEMpVzMNB5GzCyxfxK9Pa2J+azOlZI06dwQga/1WWRJuokr83vgO/vEu2oT8wCB9F3VMENk
9y2dODFas30YOZdS+YrkNAuO8HiHnmUyMp+L8ZksRnRrFvQwWsOg7+G8mwIh+TC0P2oO5V2T9fss
FNX2y8YRE1uSe3ZE8R7NgnB4DxmZhZLa9QCxpgGYa699TSQQMdf/TmGCMwyqguzD71MdfMxOs568
9qEISV0rCfyga7oLjeio34Apxj3nMp9bYopQoKac9ZKZw21PoiinZA/y1rihybJGlI2hKaODOrG2
1WptYSHUeZVp477Hmf3WLPwjzRJ9+RPb3NhjlY1oNVoy/xZWIRLRyH8iRuW77XXfbaLG21pH9U6r
LOQER6aEWC958zoa6XmxT0stGMYJ5r1u3uzkgi3OJCTunJfxK6vQdWpGzdHA2pR5dbUXfX8naqgp
/tTPsDtx35MCu7WHoKU/zAYHWHXNLG5YNfcTMOctp9kGNwQdcEZRX4kYpt+6PI7Rb4rSvNJvI9KF
QJY8YU1B+c1M2Zmyy7wuUJ1YJ+WBoKZ7yxyOvUf5dOnoJSr80q2g6VJQEfS19vNi3YngZGBVWydy
fGmUifjZrFYJcguzCygg7bWk0BEGdYuTECfQekRV1AAh3PQjVuajzWGR3iE1M1xe8meKlT/QF4DR
RwsJKUFPWyiDhStq31gdnFr9C87d0RKzP6ltlElVgKxJMRWE4PiLvqhdltDpW9pXdikPxUytUllm
tLXg7U3MSLwq/85JDz5EnbGd5fQndKtJMVDrBd7VKJHbllM3DYoY+JquDC4fZUib0SHz1B6PoaCc
RSSs28LtzZS4TJklxWUfUG9XEsXI/OXami2YcCY0vQM5gtVqpNtTJq61a+s3MFkfk0wMkAC6dQAC
jeWaIz9WtN44u8hY/lmEZGlB118+FA209ABaon/8VZeHYWP2aYkcmtx66ZETNSklq35J8eRfw/1e
xkOoms00wV/45+cWf/PcxKAInpS8EESxmg/2B8FX6wwyp9WfHSo98c4D6i+eyIpeJG0GQ8ibUswP
LmqRebJeCFs4qnE86SqMsehDoEIymjDxco5gpNxdN5k6Tg4tn39+le5fRGFw+E1Pas63su2/JLwV
zVSkjpty2fi8ygj48dpv23HFMkwxOev2WgFgsXJ7tQoVuiokY/WYfmkxRxzzLeYF05E+83clFTFa
gw9b13J+hvrTKwk8bPKPjFYh18TOwau1CpPovWxjDrd3FwliaOq6XbcDuxpn/msye1AWQ4rCi06D
MuGLQbCrjSR4SSnkRQotFjb5KVymq1S/SlyaYt0OjOKmBjxO4hzGWWbrXA4Pcx79hFR++6bc7EEX
bPR5PtxmfMgavKzO9E3oJmPs1kdZcL6NPsqF0WNjz4/ZFB3++bO27L+IY/mwpSXIjPQ8Ez7rL4q4
aooJwqb1cYjdVK4J9NiiUaX61XqTRq9kTqtVUXl1pEczrNJizjfklosba3B27mSWbAd0lH0PkqIB
E/4K5Ox4IFJhTzaMwyZMP2fJMy8/RSH9k0YND07AABh/2nlpVb4bzOUrX4yBxa0rd2497y7N5jCi
Y0GkxjqPPsLWQAhn0a+O+er0QLGIaZIlI2t/Q41iolFZ2TmnLkFD1E4ETjC6b7QZSpB3a5ctdJt0
d2PEYCoFyLXKy+wVnjUrD8V7TlQK0aL9uppZeZrAe886j1Oh/v9RxsNl3tobP7NkrHb0HAyrq7ZJ
0X2SeqXb9XkuOCnY22yM95FZfPSCdmNum3sg7Iy8zJxIc3yDie3p0Ugc7sbCfOagR7+Kjo9Day4V
zdmgyYWGgXctVfdw6bVXRnnjeOkxqoyfpeDywQhs4SyGWDlw3AuchcFISoFloitrwS00jHvh0Yx7
IxeE/SR1tWNcgoEtqY7Vh7AT2B7IptZpJl8k/5MJwSksx+/OGJHIRkS101+TiHastEjAjdknGuUe
7MZ4D3Puc/1S62NYRj/JjnjoUx2l5oKbs3ooHEM/vdiBRKxRY04cu+YE8/v5Xy7Xv9lRLClci7Rh
Vyr5K2I+7NGYOEabHmz9lvVu4PEzznDqh9FdFV5C0RrRXWL4vAqwTG/oatDT0Uo6R1PJ6y77F/3u
XxXfylZsEuSJcxextv6yppLgNbpVbMWHTIZvVZ7ccXw+6tZ3NmKnauZjoBVn5Ti8aOlV7mcfgVl/
Q6/+L5/N3yzutkJvLbBIOEgif72T+7gfArco40MXgYGfeu4qUlcTcIUoWzqsxuKzoVQbFvnpNsxf
QiTnre5vuFo/hp4CsyVovjzwn8w+fhJONG/phGHVqqZ/UeKqv8jkyYxjzUEhT46n7fyqw+WA7TAG
H6MDDDXyFpiio6zYmAPEKT8QephNWb9krkeURUNWg3kViWA8eabTbEkOoescn+c0Hrc9CYNb9BOQ
ynQ3CgwaS68Tb+iz2vjiEeaVvXpZtYwkt+aYUzzCcoRfodrjmE7P+ZyUG3NBFStyoomA8m2UIdWL
ohYS5gNmfiPNmu2lJx4aMbtPA/cstTd0+tR2GGmsZd8qSaJ8hl10W/VxtOO2WHcoK58xVu7cXN24
0QxMCE5PPDO3MOwRC2PlnpKG28auKyJ1LAsLmDK+NVWbbUjOormqzNc5Q6xr2Afdc7xIRbE+AVMx
niIGuCZ7RCQiOBwsyEtRPKoIbVRo5zAqbOOoTHlX9CHpKma/d+1DkGTNoWwxm83llOxqt4nW7lKf
a1VVD6Q1UZymrFb53E3EeMc/uzEufzt9/FfWqP+D6en/5p76/8gaZUsiQP+wzmlC+5/46S8/m7ws
uj+aov7zd/6XnG79j0NohcInYwn43TYH6f+lp9v/43D/4A5yLJed3OVO+52ebmL8sC5ZKTbg199N
UeJ/SFeykMJDXrfwX3n/jSnql+MaGaPSQk/PC3RYeRxTr9l/OFT61oAbFlv1IXTVp99r2PH9Yo3T
CkyE/S9nQ/svGwDpULxT+OIkq/J5/LLa4qSshQ2B8YDoON0JvxcrlAD22qqZWMK7aMwfbWsee4YS
5nxNu+q1NiYYUDQf4iF/zzmHlFkJbmFsR6KxwYBNc7hx0lBBDoifcXA9VRnTUYxoV3EmFS2QetzA
LVg3TuojofX8VSLjc6mB3a0ptsYwl9vBaO7+cAX8ne/rL8Yv3qhkqIJdSWlP1i+fKv4kpk+prw5z
6BymjvLaTvwU0YRsMTqiH2HcJWPxSSXxlcU2MN3mzqRzzwSsqJCUMUVDxRyZ+Vfu5OcsIyLBT5ED
uo3cQttAlY3EDIUIjMWSszXFyDemrOVJ7NM+A3zl28eB0cKaEg7ofWdfe2F6nSVIuExw9doBaggT
9rOXvMS625ItkU9Hr8jHNbMd8tYzpk4NIwXD46AjHV52NyBxRB4IvSqFPeCF3etcu+0qCutD5FvP
hZY1hAXTfOSNB1Kp9DzdJrDRi7+sZD4U1chyxxcAz4SgMoaby886q+9Sk1FfKjC4p/EjA/+NGKdh
zduCX+ekbxwDWNnV8EGDLlkT8Ddu/uW70hfdn0o6viv2XEVSgclZ+tf0ALNxKjvvFojbTIDomAdP
iZ2+q44xTzGZUHAoQJui79dkiMjNUGsvOqnqiysPreGVOpZyb2XRAfMNaBums4fGc7fMB2DFxEiO
yZPcytp/xWrMmdHhaGcOMwNHpk9kSe2bqkE8knXhzp/vrW/oReRGhPGXTIhYrGJ4G7Wnx2Ml131N
m78ZKYQWR33PInAKdlNTWBVnh0hOlL8yIT8OmLdMrzgYv/RjcYdFPUWXgLpgHs6xlb63TC2Cdm53
zFqG8UhvaSOs7CYJjNtedGfpgaXJTxzR2Ag1BoE/MCFCib+cwpRMj9W9aY0MFGaLLz9JbpWCv+lk
T9oo4zcgyGr5kCuumH/5nv7mayJIRycxa3fp5QD1h4Wqdey+n2GVHGK7GjeNCbvBD+W8s4hx6MRj
56Sv//yE1t/dxFSxNm5R6euC9s9LoxysFjYRz2hP9lXluneLTzGL+qLltN1/q+LihlEEXAG/fwWj
0YJj5hv2SmaqhAodSRb5An0c4rkZ+rd/fm1/d81qVyxXi8MSY7ND/XHVFhbJwLmBfsgTZ9VqoaS2
BbGTtUB6PT1QAwVdgP37r5/WMS18ePhxfay6v9jdSHsV1OFoUbUxaCIeyqxYD/wy+WrrnizCKd2n
rf/0z09KefDXr14KfkwULNvUX/aoJLSEGrlxD2ZnDes4vA1HKD/RCE+pIurIq1C3OgNQfgdJmvdE
rjXYpUkAnPTML8tSV/lAnJFiW+K2y6/dpKTxzSITmOm8j/lnMLOCnQGMUiRzht6cIz8JkeTJuvkd
Om5N1SXcqDHuC8c9FQMf9exBDErdcsu8mKSxiU575ri7pBo7rs071y7HjcfRj2ItP1KBtBzuOAjD
vijfw1lkK69AFmJHE1SCBYVByUDF9ZvPznyGcTVugn68VQQyr2SAh2GpvfcOfmAqeWUjGAzUFox8
Atz7a7yjX1Mvr6wArHMSd8O6yqnoU3gbTFddCFSzXnjIrj4j1t6WpoOTbOZrA6lg6F5oPLlybWfz
EyrA597Sf5atFe7T/IBHB9+KMZi0r9UT415emOLDlbX96s4LVHa9O8y0ncca551QDFqjlN4Y04Ae
j9vk0AHOmvxffIeWuDQf/7Ro+6ZJ7SE9ocNQcOv++QYg+TLrI1wlNNvo75J8nYBV6DVfgVk5Awt1
72vyQgSCwdYshggow6LpDFkdHufJUZthm2l6AyV/g0XLPFia7JBpxkMO7KHS1AcJ/mHUHAgQ3uG5
FNYzTSdrDRqrXme7ngV90/UJQ1eHAUpRA5wx5Cd1d40WdkFfQ4ODiUu4ybMOlq8nt4HlkYax0NfV
zIoIeIV2QHmaZuFI9b00EYuPD6okajceyJMo224vUqe5LhfnR2q0iLeCGR54YNBClduSywm2Cgr0
R9uMzgA2Hvwamas7USwzG5N0bMWr0iwOAZSDrFxvlfUK2bkGdmhyBwLd1xoCzrFbrGCN3mdnFIWm
exnfKOHpfkEA8XP7uV3Kt4Ap4boBEtJoWkgONiTR/BD8VbXmiSSARfwMwiP55jc1yBFSHuPN0Hn3
PG+LUUodwr45osVBsxaNj3aCah9mtW/m9O7S8brRbBOfT8jL+Kicl06zTyZK8QLkF5accp9jzwJn
06+silAe0ojyYwCBLuJgjQ5Gj+jgHMJoqdaZZq5MSPsnTWHxwLHwWW2yuQSFb0g+PTpG28BWR5yT
hwqYy6SpLpK/uxYoIzma4TsD/ULRn+nTKZYHK9jMQYKH34pQE0X1qQ/d4bZlALUbNE8GnPgGF0l5
nDyFm6Hmkog1fyZrINGMmkljazpNqqMAwlRcNYU0j5XenG38nb6m2hC3ScofeqtZktk+1dHLEmaP
iayvYlpAiUtTsk5RqqFgPuQ9WSHgc5hUoWqX+0hzdagEaZPr5pokOTrPDrUJhDJgvkuBre5V6Fbr
3Bgew5ZJTmU1zzm362qw7Pto9IwjSvQrqxXLR9GfaCuQ+e1Jd18FDu0meQN3LN22VoQGWpIRb7K7
1FPNKshQc4+nao3NeiNLnMbpdJVYJPCMpQmNNaueJ6hfm0VlsIkmuhV5D5BRc4uclL00SgGQ4ima
MDZqR4CmgM2sKDOhtsPi3ZZxdbWARJpBIyEM+sjL6Z5DK+pC1D2xLTg9TRi9rWB4G0TxEJp8/3lj
ak8kuCnPPIqBE6pmJTE9yHdwoR7tgJUZ18ytcsLi0BKwjATiPtF0p9YfH1rNe+o1+ckBAbU0LdHA
Fnd1ZyUkMsfLGvXam81ts5qA8VfBDIN4TIhAwYOd4kGuyzc0UcCMgRMCaEK4hHaBuW4GZbU7wX34
gZtpRM7Gfaymdt/K4CaDalUw67tHwhBdVygqIT0V1yamBTfpNpUXvaT58LP2UGsN0LJY2W7a6ap3
67eu7p8UTK3UgcWynCChIehSJZk6s5esOnTg68Ubv2VSYokIOHR3e1xON4tGdy2F16wSjfOatRgY
vlejQV8C4leq0V8SBlimYWA5VDDXJoTcK4dhBxltV4CwuWVmuWxmjRNj5AzHdbL2hkaNMdqnwZ5h
GA2eRiPHxlguiELx1FQie0sKPp0IyitNnXPeMMI18EVAqRq/kUUBCjsx03sEQ7grSjqFyqrvHY1F
Q2Eq0iQ6GFMH4HpeB9SNq0Sj1CKB6DrTeDX+zWd/bBGv2cNDHQnsUtzMVYn0r3a6Z08V90ZX3eK8
SjBxDJiGGER0vr+tW0Sj7eI9E8paHFGrOiv666yRSIJXRIeQkef3R78jzROEBFh4yHFB/NRokNw4
s2hG9n0RQsxdQuRm9r7T6DkrSp68mpU0AWafqg4xWxV0CAjVvO1SdAADbU7pOd526G1tWdWZ6+Nz
pdAKthf43dKfeusYj8TVpzOYLI3JS9X83YjfucvbbaBBeoSwvfStQqjMXh2q9LkFjuZMBAl1JsJm
eGUg+dw236ca0mdrXB/qRgTWEPzM3DybPpUf58iVwcgPk7P9WkH982GbawigT9ONyNH+SsIHBOf5
acMMysLPXOMDcw0S5DT13FUAcEmRBzIIbVBAHTQN9Rnk8cHVOMI5MF5SlykgeImNZlvW21LTC03n
dWjmp1xjDWf4hokGHdJ0PahBbdKRMjLNTr3yvhKNVQQPyguFljhqbKIHP3GEo0ic4WsQvrbiKtOQ
RVPjFhO4i5YGMHaQGC9/d5xjiFBsby20RhSnSLE1wHG05AzSb71otKMXjt8iDXtsNPZxSABAYmD1
Dw1MSKRDu3gEElkowGkT/x+1LJbN9EtqR6iXpePBmq1v5RIRzQ6xCysO0hsH5jVrHL0Is+EL9q8m
WJWTfrLFL7nV4FhGFUHVNdqbuQ6fYUx7kw3vMhnfOk3ADLxXEVry1Wjuk9h8yMcFUqbXgXkwFoUI
miW+aHKYXaA1LfbcUbM24WFNWxwUjA8AcUaJ2Zz6+QPb4N2oSZ2eZnYawDsxvZ8xJp3I5ARrAFCd
7JjnGV3tEfDmdh6rYTVpFqilqaBsAyjxPOcura5EVxydxqhPBpVr65BVK829aUStLgCb3x6Qv2Ge
L/Nh07nynuPqsitt9BUoSUmNuohKJkC4pEXWR95uD4sB1cflV78/hLpB8f/YO5PltpUtXb/LnWMH
2gQwuBORYC/J6m1NEJYso+8TXT59fcld5/jcc6OiouY1YVCUTJNoMtf6199UOYFx5gi2uvixOmF6
u1/rMtjjF9uenNJsT6Kj/pbEVq5LoU5pJ9UphyqzCUtl6WM5ngJp+/uxXPYQvA5uEJ6ToArwP5N3
qRX2rJ31K1Ee2a7uJTbNsc3OMeMRm/opioDc2o+w3FvPvDVrZ1vPNrZk0r7NbYSbRfXCJc6268JZ
lwni1hHjYeFN5AUaVYEYSp5VMO26wSKAwCi+xj77NisgX/acL88qsXV4aDN6D7Um3+J4Ic8O9kzo
p99mxjD1UDwRDXxGr/HVz8s5s3XIkv0zGMW7ewp0+zkREIB73JddJt9sic2lPVe0Pz6+/LDSqTJu
p1Gwr4/4N5Zf1FDnqdNliptuc1Ox9QGGBfAT+jVIN8aKSX4p+V9UVnlRG1bv9H3ryTMxIZ+dsY4m
f+BdhVUhfdZJTnbtHidImae23S/MIU6jgXuzsBfCosbmFbllc8IKDsdzTjTmg+cEox3sN5EHD2sQ
n64P9VwaJzMr7qi7Y+jDXLJqZBkrZ28PSNOdeuhcMJKqnulY3zznhfwkenj8+4K5PrteK5nyrG22
xtTZTjKm+9giYyXVnmjXZ8xLEXZ0AiksQYVDHz4L5Ltbr1IfdgOjGqvgI6O1H0kO+jNP9WscxPta
AxpmjlRgip9pmA74K7mbEPo4Yo2X0BnJiBIhnxehYbawu9WEmTJaS07BCr6TSIKgs0mOG26CY15R
xGUNqXkdpdvGRQRsmLUXebb65ZJlc8UwZR4EOPYiJEQCGTSQXtrMQ/8+fqdrozyC1BkJdSvihnrQ
2xGAtZANonWBHB7Ibr8nF0DO84wviDlYlfZ8AUkmk9cSf5cgEIR2snQnn/ay94nOWdbVjjrxu9Db
uob+rk0i9EhG9YxYkSQfkNBbN9eWWxGSi5JGrKR+4P9PMOV20f9dFjsvlrVGYZBxfQDhXWEuowqf
kZ+8dwpleV5UaDTL/HOIi9/uoiJflkex8P3y/i41iR+AAEpWtgnXJJMm6gQI1/HMH/kruhvc2cOG
3VVAKEf9mZkRc2mDER6i8oRcMWL0JmmprcXsfStsnceDJ/tKCZdn7U8oCU9eXx/y1fU3vVMcoO39
rAQmtdlkH0sg8oudXUrYB0zSCJIImFqnwp4PPniq/Dk0dFD6illUKradxjGFIlMhRXsBetDLCoqq
t2zdfs02CZlqwAjA0RDyJ5K2zPK4QJK+GTWsODcpyvR5eZB+/ysWIAL1vJ5bSIDo1QEqRD68xQFB
OSsIh2c2r9aIrs6FEssRnM+9a5PoB9cW52N82h2KJjB35n9YKZA4zocShvy2TMdmOI8WN/f19KSs
NFmaEVkf5++SExFNqn61TbayHGRw9pr7PCQYoDDVvDUwTVEuJKcY/vPWK5w7wwkeTA/gJOuopjHr
eTQy0kWWEFRCclT8HBSjFNmPbMwwsAbrvV51xQLjFsrUTbxQncwLvEXL/K1ISHDT6W8gpMDQGG/1
BEt4EEfmD0RuMsksczxvc/07uraOC+oYePb1BDipbqk1EuNX3kPfu59lCzbE5PEGIOkrM8y7Wjs1
6ISeNNxdD2mWa3pVttFA5Zpwj3o1zCR9OvFIobaFrKam9OJXGsc14E2IwSRAdJLRLIunalnu8gZ0
fmro5arMxZfexA8czYPEnda6LdviUAM2QEtwMCfngr9ZJOf1Cm7XgHEg2/OR0RwGmyA8sGVr9OGj
fahURb0w55G9AAw3CHwPlsTEu1yx9UXBeRzl3KFYzt8TFxTGMi4ThpVQ8ppTWbmPcdAVO+B7tuPU
P3ezlUa10cCChx0fwnLfDm4tD2H8lA5YEqQxSVs6S5j2qx7xHSZcq8Bfgk5BhcsRSfmxN7zvCaMH
uoI26ur4JJPiY06K6ViMHULOAMoHFAh9AXspwJoRFu8Z2WzYIdMe1/wnBbiZ1ZsPc+vvKwd0zsyB
lXCPxehgBLLgwgO/8AhhOl9nMqWR/wZe4TTPwXNW2nel8h6GmMuWAmooKwnbbKTcgSt3vcYwPZ23
S+7srLhbuXWxmjfH7mEYXDoB/J1MxUqLgajDUokevLK38QpzbLTsM/QqYwtgb1bd3raR9y9Tua3M
QYt72+NaQDUyU05d2AyfcUyOAShuXFxktz6Sdf9mVtzUi7CNbRki8p5wtG47quBkCo4i9tLtyv3M
Nxy+upZAnjUjjNwiOq01HeuQuwCkWBMcDNaUTZoqC/yBUVuVTETAhW0czdkj5MifEBBObLHb2F2P
NPyXcIZib4IYarIM9s20OYO7xntbGvdJiAttdmw6gkVIgliaXeHO+6RtmyOTgrfMlQ84zB8aECnL
xjEIEJuYIdqOvVWnnI9XQS7iZkwSk1SEH71VMugo1xeh/INV+T+nwPjsJUTK3jJcqFKkhzhHYVEW
ZnkGFOU5m57+prXzt7ZMi022Lu++h1B6mIrj5JQXYszpa2oLJ/kS36FJDHdxaB88aT93BFUFKrsz
u/KOYMmHsTGzqKyyiwpzcRMz8w57Mzl3jfiwxvI7fk0XdMVlFE5mHuUl16NvktBlar135n23YgU7
Z+juDFwM9kC2OcoRnDYMk71OEoPKhdpgTUOZIuRDhjFHi7TosKoKsbXnfMUKLuXGxHg/AmfGUcpp
1On6kJjdSITOP3/uUWGUHeb7xtAEZ7xQ+r1jJI89n+BkVeW68XG5xOvAWM847d+wlnRbh3WJgEOT
nI3UWfGcFtB3rj+HaXyPoLC5KcagAl10anICUHzPQc2szo9MwAJkZzapveTcCy1EWLUkQV7VCeyY
pNdpycL12fWh0IKG7Cpt0NT8KykfZ/uUHhcJhNQ0/Otr1weFUgLMf4mQxuzsviHCGDVFomUVZB9c
VRb2VXHhavFFjQoD8yTdGg/H8arQMLVYo9GyjVhLOf48eFre4WihR6olH3Ck/uao/i8p4b8Ndbf0
tOq/9mvVoe6nr374Wv+VlwCLV/+zf/ASnL9CE5156LrMYUPHh2LwD16CR6o7r0Nwta1A/+IfrATr
L0cw0NaMKVhKDGP+SUtwAu39yvyX35iuBXnhf0JLsGxfz8j/FeJnGguPFI5REPBLK/i3YZPN6lA5
8IEPw7JAZlyNWyWRniQhrgV5r2GABGd+9DEy6ioCnHoBF4nASLyUCVsu4u45gYo3Jp25zSHaXWDW
tZtsxhCn6MsBm6uB5qjE5W9YWlT9upeqlvgcZ+Zd3yzejgE1rnqeOFrmUBy7UBCY9x3WYn9m4sY+
XbkwjqsxwytkqnYufkxbx9YBdhlkz+5nbOUfPaMxQp4ZCLoD+XSVmi9NX2AP1jVsN2F3Locp3hJF
AGKdGwYAqEGKUdl+C/DtuQum8jloya3xpmFPXshwTBAuG6b5Co/MiNIizDbpsv7mdsQ6iQC6Eb91
quANiaynq9cUQ7lhnyzV/ZSF8fNYu5/glO+dA0GqMYPpG3Y3W/R/mMgwC8HvAcOOlZDKAq63adM7
30J9QVPp5Lc4PNCqmRitBINGohZybtcmIbncrZ9zZfm7zi2qyCMSIHY7tcU9p9r3yfyyjn11qOc9
NXC9t2fNImeGT1lDCbJmKzO6xjxNRvI9aQGUdTGGRByTKv8ZURWVyoyMC83qCTqvUeMaJFqcEEaq
9y6zwLAbJYlRjZ+v2gdI4MT5MKXILQahRg+Aka4WwyCy92oOInaDmKeUST1tO/BSN6vBHhzaiDU/
yBmrmrHTO6ukeEC1v2lyCP7+Uu38lvK6jItz6YgfyKPqPez9ZpbNIxsWx63C9XHoqROnBDJ/hYGE
0P9iFlBGGauLmwD7r5sw57WK3nArveGblOvBtDkc7Pt0oQtxwJObbFX/ahoLJwUzccnndBwcPRYs
cdSIuj9tmb2pMgpyH9/x1e+fJBqTOYtvLeWLS1DIyzxbzc5d7Xm7egCyjkXACuXmyS6WyCDLeL9O
HN6perH95THse2aWa8sGXZzWIMR3Y7JkpGZujZaLLrOcC8LkLHLiQ6GwrxvhDKTq1V641Hq33HMN
Lzu7tOMNSg2pAtR/uHgkmCQ5DATyBU+eJKwQdjISq/WU1ifrx9aNoT/2GzE7eAdkxfda3Tdu4J/L
jtxF+sE7iLkLLlY+3QKdRhFSdnZIOqJ0mj+E+N4yXngajTfPUjjnT646uaPBSRVky/R5cAHZLqNC
pd9HrOlPzqzQRK6JOLpYQUWV3ezT3G5eO7/Y+ckg9ks214el4RSIrvaOjdWz/XXyEsRmSzRpQJmZ
9w92TOPSW9NeVPKh6Ud7zxQSdMxlEutDILktS1yLUmFuoS23yG4B98G6rKwo9siznH2ItdXccvFU
kTuhPUFlrJiVthcDMQ8y1QADqIWoMADxSJKdDkh8cJC+wl99tyRdjsNCkvXlEzbzaMl6RmXJN6wq
4T4H9fAUOMQrrj0SHX8qo3hcmx0esQThDOOXaHCoB+ThYvH4M2nP3q7An2Uf++1GLfNzmcCGh7tI
k1amA3FvIcviwPTGmuo97iwPi4/afanncDNV5Uc2kT8B/fJXkxD87ibdM24q7P8ebYsydd/f08Jx
FsatPzCH7OvF2FEqToY1HtzfSUCObjxzngPMMJErnJTfWzdeFpaXVQ64vvgpcSX+9FSWFilqTqui
qXedbdkEr4aYuUQDSz0UdQSY+VWYxUui0KZbxnR06NegGA1mVPsYFzZfQVMf2rj2zraJBV2afRhL
xYg0LQ84Z9mA4hYCsqb46AcjymYKyClzGKJBab+yDTzYppveLu4b2RHumMbcp0sFZj8GuyJbzmXv
V5HQf7QAJ3KE6gPgCnEHXRnuC4AohkqMxebcjfIDZX79bjvMJpN0xCx57VyEUNVzoEPCZ2clFplL
oW4i41ijN2KNo8vs/W68LazwLsC+leFATKxt08ZAHT4YSzbnuG0Nw3bOkq8cc3NYMiyq2a8knW6T
tqM9M8wJ1nsTDcEqaQ3hmM4CktCwuHs5uQiHE61BMmqMAZrkrjDJbBY1QkCRBRgYMwETDVZNqhY/
htYUF3p/e1dWFM+LE5t3xIojOqyGqK8wl4BRju1Xhp5zdCZ05LbsvtmAIUNdGoekbx+IDW/v/cnI
LnWZ7NMBpv2NPchtqPyHZURXNfPLS5B0p8rqi4d+aH0yf7SZjNHtsdKLHya53oVOTv6lnxW7Ogt+
LYZzSgw7vl0hT++70f6t7Ny7YBfsIcjWUv+sG267gUQoKvGjI7k9a5sRjpdhWd4F43lolh9mEq67
Qnn6MjhU4AubhWA73ECKjav3rZH8vDAf7lwyb0iq4u/WjrXOPxkG/ksYot2lYsxvnIU6P04/2O0B
ffTbLdX0tPQ/J4YwBPgwSwsmACDFOHU39gsWDk32GCqpA4lvR3zR9pRmfOEsfRm6Pt1VkpjtxDSI
otA3oxppolppbxkfRnikLUzyk6gtXHVwJ2he+aI2wGk/SjsJ96IM73DjWvG3fbVhq23m0BzwXgMb
7llqTN6Wq1iH6y24wZnqYIn4M4CCc1OvAUFRcxCDSw2VDvU4hBxP5oAoH8lEepTa/MMZn/zF3+MG
i0HFDLDkht5PZQfPbEMTRmraoiOYSSoZkWQHLsmuspgm2Cso7jow9CgYrN9szC6g4V0+rsauF+Nd
lVv4yoMlZVJCFKz6H44juTBYbQuEmYDo684N+mmjVuuDwdxbA0nqElMW6q0M4w15sklMNloKJG9m
9Lywm/twLre+ae9rR8Qni3k5bsF0j2tINHJGuGSOzZvZRXVOlqgc0+fQHXRXmjKQXfliHNzNNbob
h5F1W7buW2toxaMBLy8DzDguwT1iSLgalrdbU9ox5tcDixy1CdE0LAxRGtojnqFHCyU+o5NtuhIM
NHCcc7xO8NIQzcVYBSd0nJeNiV8xKEk4H9kU+5uyyfDUG+wYk401fCTy5TNQ7pNo4+mb5eW7fsiD
x6p+aiTjZvJRBjIfs/k8A6eFo3dp2Jsr9sbHWjFmdAoZAheU6PEx/zOBh6vMz761boeYt1CsqMkm
cHs8OAWBoz3I4qXonF95XKunormsy2A+jcspH5Lp+fowY4S6Lmt+N/vD9OwuNariNZkOcdKVkTBt
tUtUbO5bMCv0ocRRC95Jui2zWIONvnHtbSM8izUw40Dgi3KMW4mDd2OyaXvxs54R37lxbO6SKe2i
1Fv8ZzOx/WPhgj0GYMqw3aR/dGLbu5Wd+iEWD3e9ejWiAVPCR2rlmxDT5WfTW4mfLRhQIzl8+Psl
Brlc5GZ9XvHi8VLpPhcJNweePdOhSWuSZubO3mMGu2KMNxIlmsrlxTK4fa0yzqHV8BXSxf301pS0
0ZmTCy7Dt/hE2AKXc7Hr29pk/p+0IiNQ2j71HiN3XxGsfMrUTOb6QvLubMIPTjymBIhBa/MY+I2K
DM7bzaUL0uARlQEyGDG9lCWhd43T41vZWrvFdh9Wv7j3EddsDGWc2rnPNyiNksPgiXWjZvnskEQc
dsPwKhakFn1xFDWuu/MYY6s4tjEZ59lrmazwMWzEb5XRoewAU9rNc4lPYWO9zUwu3XQGVLHpAOKx
+S5gI0eGw1aSTvZB2vterekmYdSRj6S9hecafG1h1zpaYf0Cr2MBFEw4BCmmZmJfCY6QRbmAT7I9
3tFwMDqHeWUhb+qAd7YgIej3AA5d3HvzdvR3aRa4OxA0/Hwm/7lacCmZs97fKNl0e4SRux4Lz1Nn
Wx8lCwW58hLVqYOLdCncM6KuG1kH4HS1gkOEgXrAEbG8DYyx/HuGuykGfeOiF1biPTEmuVkEIZvL
KOEHoLM0l+lX/j4IVT1QiyDD4WIOEBN7zjNKp+Hs+zBvpa5QJqO99Aio6yrs7juF20rqfVCcy8hV
ocmpHqEBzB9D0ToPLDeAR/jWFvYMuyIgnja0kv5CN4WPGCpnx3YOk2GjRxP0lX7xu0pneE2CW0B0
xZOZ23vbW48BtQlwPIO4xAm+0Ao+mybdZDUs9nbo2kNgBDsDK9UlM6vDYnPrMmLPQKFu3O+J5946
STbsJyGwtx1IaU5Wte2p4rZenT95qfU9aDkjVVGIaKoQCATMNuMpua3VQrk4lU9xM12MPn4PBM1K
tgxPsD56BnvyV8K+q2Y/2MhKD2Z8+3vQ0aAWLZ4lamlXojzgC2aT/762ZCdPmLwcmROqyHOTb0ww
xm1YMuMIZCHIY6eLMMsAWxcKCb5dQqienY+XTE3bZDb84xDsyiRxHjtqE7ZBgsZnjLVwk/6NEn1n
DwoPWFCxm47gwDb95fsMFmVJonoZ2MshF+508PnEzI7YumOUoMQQ1ubNBuIO3Q4aJExa/GgOGa2G
Y/xSaDecqeiPi/JgIhVzeO4XBs5j2lJRGuvzpIJ9bDoYBIa+dYjxjJvbkEzjpL0wOpX3cwPHwsZ3
KkvtOxjc/gFe4P1alsZxGOQtOVQTUobV37qujV9t6Ff3sxL33ULTF1rNT8qDz8InesGif0Dq50Oy
OZDPejb94RkiFZn1EEq28zXjtxjlJkELcqNc49WrPQP3barLpWO5yOyUHb9CZ+5iBrHJOyvKCxQa
wOL21kgGXLFa7E6tosLBzILin/uaT2nbt4PKCuzbP4Q/yrObIkDsghOeEJQNtkjvantk5IIP7THM
WB/GTgXHcR6XLdDSvPFjSuqgMw6NTZVXyFsM4G5T9qMjVySBIimuY4ZP+KoljqPF5Ath4wT22XKP
juELoGW3pcD6qvP2QxlLcWQBFhsEuOs2najCZpnZzAin8qYKzWev+wx6F9asGusDRu6ktGEJZbR8
OLOu980g+v0EzV/QyLgKiUOizB92bZEQESLM9GbH3mFt39wkI1WjG7sQet3hW2KP1qbryx9Ntm8x
Od5gd4sSNtnaweM6DuLgwsiLyj6Aj5su8E1h3I1NjPOXGiQhy9TZKulPyxS1nUtOyYA9Iks5VZhl
AhMmiJT7bTbBK+7QAvjlgHlpSKwtDt/JTTNYt+RvWQ93w7oQstm/snP9nla+Atzgh87BlyM3ISYM
3Nz4+gNRzeBUC+nzQxM6kZwrk9mz+1T1ZDHD4k/2ykyhuC5v6LHxMpHL3rJA0HpJDKWpvlybPIlM
ZO8xBXht1OGecuTnJMk+9hw29oe8id/Ra0tIfIwrnJJmwhsCVg3lfk704SSm9HgcYOhpph+uVVk3
mKQa29GgRAvIp40cbMaVpDSk9YuaKkFjPN57/vgk++YsyiU/WJRCWyaDkqmi9w0aG3c7uaSbtEPN
MtDLjJQGTFkLAuQLBmWN/06EcP+juK/JM8JXjFTqUmDWpIzPVAJLDck7uqUEhjg/MDvbWjO53qGj
vvk1FscTJDM10b0KW9AcJLnaBWTN3uTAWZG2SKoXDzU1auMN5gjt1hlM+G6GgTkr/qgpLbNtAsWs
2FDXQoabSnvrga8Bo7Xx8+oplzlR9Xbt4vIO3wCM9GM2s71K1nHryW3pcpyvrQRe0bwrFWPavcje
XHZL44fRnCynVD3MNrCN0YzEMCDrXbVSekAlkeQdYxa/gUkB/Qy1CdhOrriKuhgST+ftYsnt21EV
av8QU8EdroBqKp+4ncZEipuw9UcDg0W4jGI6DtL9yDUnXM7myU2ZutZ2A4O1OvrlEwFC3/uVDHbT
pyWuuxIszN4mGqpcJ1SLi5kkB1WJp1AWpAHMpHAmZYfrqds9rwF2P2NefYvXjm077WCRo8CA3xzf
lzROt1Oz1vskTj5nyN+neCifXAxCz3aeP0gxX4hDtC/9kIwbSeMNd4nLrV4AXULM2h8rJ3sbu4lv
SatRDu15wLHh3AiMl9amm3ejNZ7iuMXetmKm7bbLU6aCaOYaGfKwviRrfdMHlne+wvL/O8H47yYY
nrARO/7XE4xvX3U9MIr7WWdour/wHZDr8df//T/23//wHzMM9y/B1AHlhmshJ6Qx/ucMIzD/YjdD
3WFzW2rV5b9oK+2/eAmDJFTMRBow/PgzxQj/8rVG3bcCC8km4on/2RTD/P9ERL4er/hQLMA2LcH7
/T9KnZISVFWtuR6Wsn2a81lFcZU/4cHcbGhY20GEuPJY99hAq51tCnyxbXfYVZg7AZl4xEz65WNr
cydDy2BZdPcgBUia0YVFlYBo6i+AeqKclkvjDw9zaA9RBb91u6QYHgWpu0kv1cQUvI/halVMMSsn
SaLEWR4XOLm70Hqr4yTH+RptROOu+r0K4jQd486Gkn7CQKP04m/NR45L4rFHHc1y7t4oSMqHLE1E
5Ja6fq1JMB06nOhJiw32q7Z9J2r3LXRoIErDg8KqNf39LPLzOMiXPH3M8r5FczPtU0wWD7RyP0gy
6PeWxOl5SH7PwLKDY8UA+Ggt1hbX2wY2Ky5ViCzKUgsWmbIKPBuqCfPdTjgY2y0sqdgraRtVeDuQ
RwBi0DRsoV+KDbB6gX1U/0FP/xtyCbbSjvEimIRHKoecQpAXzlJlcKym1N1mwr6FFYWjaR7kx8wd
bgvndl4kZYqbHOsUUpFD9iwKPrQFjCOC41LY6cYPx+6obHOO+rDI7rBUim/yMDwhx7rNEleeLfEx
pENxcSbKbsPxb4VfVgBNwxj16BD2qOORKAhCNKYFeNoZoECIGI0TWNMGN3TUl3LKN5Mu3VxdxDl5
9uYyrSPWA5SiYbGHYZwOOChSNyvqQEE9OPWzOoRtcIBvUwQe/YwhP2MqyF6Xkgs1JQTb6t7TZaav
C04EL1oGL2+VLkZLqlJPl6e+LlTJrMOb3/3h6xI2ppZddFGrHZHRGVvkmVDwzlS+ji6Bya9oQRrz
DaQlokx0oYwJ07HUpXNMDb3oYlrosnrQBfZKpY3pBUU3wjqCg3QhDhY4ILWiOK90mT7qgj3QpXuX
/uqp5Htd0lcVNv6WX+282vjCpXEgH5AGAAs12BW0BID4DNf8Y06v0OumodbtA/yrFqo6kCX/pNuw
JxHLqxsOX7cegh5k1M3IrNsSpRsU2vZ3qVsWUzcvpW5jhg6nPSXN73jT0eKgkMMFprs1/e7XrNug
nH4o1I1RMsTvlTFfKrN+UmybVCjZraubqZmuqtbtlQnrjUQF53sIyj/oFgy7IbUd6cr6mLqkx6KF
bDFx2/zMFOS7STdyq/206sYuIQUkpNMzre4wCtSnw4oJdJnFzzRHBDGF8LoWvGMdOkaLztGng1x1
K1lJE6WpVf+uMBVWAy14qmKH6yWGkOPvAt2Sero5DXoLqybcGBjmDGc+rPPAUf7I8vnUQKXa1CxI
UWn7H53PgFE3wHhePPdWfxl0ayx0kyzCSp5l8RLSPc900a5up6VurIt3fPZ/kSvPh9CN90oHTjNg
3My6KR90e457FpaDumWPdfOeeCSibFLd0iO4pHuny6/o9uMAlmAl4TkummkFyv5BIQw1o0t39TJ1
ezBmLr9Yljssb59rAd/H8iFR1gWtt+niTLE0ZHgzc4TpBhiRUVOoctqZjZ7CJNNdu6TVwfZYjABG
97PKDkOXYva2h7gI3lFSiR0bEJA2PMOZ2qfgIobJ+uCFe4bu9qG31TaL8yqqgu47GjHg+9IBN6l1
TrzzhmbGwltszHbjtKaH2YGM5lmMwsel0PFj8XYeaJBEnc/RNBBIUvubRXoDaVwsdCA+UkM/Odak
B0uxXMD2hO+LwguW2/0KYuRP9m5u5nXTJnReTb6+YOM+3xBXGDx+V6WDQi0eFVOW4zphnFTBUl3A
p3wNVK0OLsmBeXLy0rzUcMBc54Tfcn6nVgyfxjFpbguRIY3zPju9XIejQ24JLOiw8j+N0DvYdRWj
Eqm4fnsoXtSTCCDRXDAPPBkM8QkG+OVW1qOpg0xGYrKj3re2QkBc65rsQ0mnRo9Yv8mI/g6tiF9v
zYSAEcfqkUOJ4Bgf/NH8MCck8tJJ94Zyh23bUmQ2KBrCeDwaKWMWLwdQs8mwSZzfpF28Fp5GDHqc
8J0+2yhL5oQLxFhReUDmaVjeEnX0aBOcxN1uh9BsnSfHzm49l2p+7brxYNTcxxQi+8lEnpTVybYd
nHzLTH2HwsBcnWrbdDQrbVUw9cZyKJd3EvtzXOJ3bkV4khNyEbUC+Mz60aU4lyzDmu4YFUHit6ej
NOf1lNoMaD0hbuYyeDIbC2zIB171pLHcLIxPFGyKndPiEeiWLnRjwgkY8WU1xzgRDQFsFB4iTh5g
+B5rO43clNleqY5kLFjox4g8Z8T1Ppmed5vAMM5Hwukzb6w3felrVS2x1qFzVyHNwchHbaimmUSH
PqdZBohG5/kzmLp80wd7O49/Jqv/EpLMcuN0fZR41XIyFTynbv2EZpxsJX0+p2feI6ghOaj4nEP/
SKoiQefeGwk3nx7FOP4Nr0MAXFHIb5Y7vyWTWrfkw90b+YVFAdtFPzxLgVUwH1DWmMHhg2S4eoQi
nNsuIYInK9lkfQb0NWvBBnu5G/a2NZJx19Jws0i28TGbjl7f4UmGAz8ZD8PHQktDLpEBH/xk98HF
ajvKETfZjdDoMPd07lFCvaJkgAqH91siubik49w2cZrsc7LuN+Bz+C01b/2II1XP6saox2eoTmCK
NmR31uKXvXTBjvnVfVtPLyrH0BkirrUhB3A7L759TuS65+JmcJkQzM2IAItF6hVkd21ZPpKb9FJ3
3S9jEruiqvG3jwUD95FxQfDMKAbQsPKBoNZIpDOjqZSrzy36HcORltqqdfr+pvIwERpFzvQ2n05m
UL8kBCHjOZPQA//xA54lYMlYVk1UFGgOmXsI7s2uPMYwGE99W//rw/U1seD5c/0FFwAlp4BamY9l
d4Je/Z8PgYd6oze5ZRGRrINscK4umlPme6mWLfMzN2d5nCStLJaqmNlpTQAOY9HYphD0MkyH8/ap
KkY827VR6tV++WqNfH24ejBfn11/4bWzwDaEL2JIOyCZUQsDQiJM/1YHQLg4Dq41/C0YIAWv/lsw
cP2zq35gGLtPL6fE/vPSn/f4+z3/vJ3F1Hk4t2gpjnn3oXLh4LfwBLgcHgWg3b41irs0qcEVEMq6
p+sf+Go191kQH33PDdEd688WkHqGd51+ev05BkIBAzaJQA6c+tRrWUVf+TGX2FVhoV+8/ubPr//8
eH2Hf/u7GI4wYRf94d9e//NjQJzKJs8hoDcNCzlGGeoGUgCKDP2QFKhhWzH7GLjon13fey1bcJFZ
n8E/pzVPbBjLZsO5vZ7mcul7LZPmj8Qyv1ZFGQOl6NdMP2kOAyLtP//4+uzf3rAvUvoVrA+IOqmR
Af3zAfChPdn64fpaNnjVtvfBIq4f4fpWxfUau77h30+TWLzZBbFWf/Qr12eFWjm0UO31ZjL+gg7D
NVOm1lbNMCJyUfvrZvW86iSa8phYA9lpcJQRsV5PW5J0/Ou/n1+Pfa5nxI1HUqFZE0TBMIPT19rL
f+pjrkqZ68Msb4u2QoOk3II5yNLzja5PE1L1TiUCKK8zCr6WfLveRtcH3885C0zpg2PtyRUzEJoa
1NKo20JuHafmJlpXxE7XH6/PTP2jO+Wdubn+HE451jxQp+Laxz2ubX4YIRPyJpsgHvMKpPT+Gy9v
BqPtmW2eamivkS3X96GL98WqlkcSPd21Lx6DzNuTR/G9J2jk5BszHj+U0rtCdkRG+3GOvuM01277
XDcOfJSgeqgdkpC8pM73aYMzVjM6hV4vaeZIzYkapSsP24Ct4BGLcfX/74IyPwxKfGLDBcEC2oxT
IMqFD+WcvNy868bS2kLJC7TSh4TDhSqC1LFjMGBVOwgUz/OIvYo1xdWdbTf/wd55NbltpWn4r0zN
PbqQw9bMXLCZGmxSFEVRtG9QVFtCzhm/fp8DydtSSyN511Vbrq21yzSbAUQ4OOcLb2CFNCdiF4Tp
FgVSrC4ep4vB8ItXEB+WUNzUXTvMROMQF7ykWQZ+VYNFVjW8U8HOmX32kTv8rLPQP1QOeZlEIx+W
owwYAmjGEv0a+tPgv2pQyZ6JvPAojfresXEcYlVATqcLD6pGRKhUFXCdwMzTbUydbjFFpJqFGH5p
j0p7L8YcNTWWlvnp84svPjO/64TQn54/R7H7l6qyCzgwzn5+LylNk1lGfGzq7HadD3BnckYaePHC
VcTD/OenB9ISiHVAf6pWL9yIdGaCc1+ifQ5AuQCFwCLkgMfiDpQ65zgA0UaalW3UPeN4flbFkPbi
ahoezEEoq3x+DwuzkiZajOeQeK0UKb48mrv5i6349vMmnv/Maiy+wZmkS8G5xs3VA98z+vUqTmwo
q6BVhMMrT58fEjuqN73ZP0QguRlQkPoGcSsw2LlHEgQTSUGVT689vzE/mx/MyumhTmV+sQGJ4z6/
4cfjTa0jmYmEzc0PRY1+tyLcgApxvubzEhVWuIk8fVeEMtdQN/XHRFKwCRaXYL4Oph3yxnxd8Rpy
xvv5qSrWJURr3iEhDC5WCPnPD/C3NVcNAvSkqwnwuWN5yzbl0CqBDe+jQt3aBE6GoOIRl+fu/MwB
dPDp2fNrAhN8D/UR7Fiue0tfkCMzsfw6tL445LjalZYZRitvep3j2vQgTdSVQ4LIftwjSchE1XGU
87MuTVH1lhDF1VRWBhONb4OGMYmrv6q4NaCdh0iUzPsyzRNiLvZt3pmq1zH9yeQAl0h+fcA/ZZ0X
2gFFy9KNEql+sLtfR8Hs7NtxUxRgO+hEZq5qhtVat+3XSCjnbj2vjxEubLv57yGhSwYww4FCMPgh
RXsDQprlT6OrJ9XwYMcfGkFenB+ixtHTLboinPJUquqdH435Bu9HtxevzQ91E6OAbXG6FTHC5u/N
b7QIE7NyzOtHND+28JyWgRDj/OJTYkPPvzj/1vz1f/uaXQesKc9bmJ/N33t+7fnP5808797za1HJ
zer51MxqtMC85y3PH7bSntDj074/fydI7GA7Kerq+aVPH5FUi6qJAcK6LbTOncYWQmjnm+uiil+p
gqSbY9W1all6SfG5lSUx+iheBflWp3rizi/m0/AWlHaw1qPIhAVBX2rycjf3IYvqlaYs5HnIzCN3
HifPD+i7HSovVNfVFBXyqn8daVHlopjdufBGxkU/WTlyi2kG2y6XIMeLdbiIECpYKGJ/5p2Qq+4N
akMZ6MkRLICWbk3Jql3aIdbStgvR6VBCfAOQp4UnrKVl+BDoFV6UkrDQnSX5w1E5Khgphvcs2YtG
iZHWF9tgFach08OK3kC0YV4KsPxrcCBvoBj/f2NhbgL8rLFgmUJt7983Fk5B/tuHvz3UyS377avG
wqcv/t5YUO4UVVYVU6NRoNqOjG7i7+QI5c6GGyEj7EcP4UtyhHrHNxTdNm3FRBpe/UKzkc3pBp6Y
pP+8/K9/PA3/4X/IP0sJ1i/+/lvWpsc8JAz4599hVLzgRaB/Zmuyrgl+hiNr1gvtr7JCRid1nHzL
iMqQDwh+pSpg0iuG376RvfxY1YK5r4GP6zL8iXpnMNd5hqwt3ZJ1m1gHHIX99GiX3dnOJ9jkxtUW
nHUIP3YdYYIKKTKObwDr9lYur+EkAGDfBymmMznI7PA15aZDH0FaMDDj6gAfOI5guud4TEHOPyEo
ZbtK8ZpuxTql9r6c8h6Mgudv/TQ5JHLXLDFRarCFJysvY6owSStf2mlvVTaVd1CgaE6hZaJBpJIi
9D9kTFg6xfjYlDI951/zmD66kAuXIvPgZLiCllAwqRorcHxp93YUqTKMoKJxoJ0C8aKge7hQB+UY
J6B+deu3jhJ35YjEvcaFwKz1raOle9VHWxnSuyb1m7JqzzOFIqqXlMY/9KhhSdQwkHb4MBrAFyiH
elBSgeotrFB6A8AHWzO128devgNTHtCYkZZIvr7uZTi3TbLPM33bZjlfoTRTyg9SPx7BLx2kUN6F
8rTLHfnoePIlkIytlo1Hr2wXPTMZOvOVhFhfXK3qGrkyM9lXDZKKcLJxznyHkt8JAbqzGhjXNqYp
5NZejVC6fbC0YZMO8d6Mo5tiTLux5zDjbA8y8xTI3oPqPwi7Nh0DIBgqe1aMox6Nu8jsNw4yfr0T
ulUk7K2jPcKajIpwXygoQwKaRzWk0ZtlSEtATfoNCrrQ3pxDr2IZbZnXEnFBSxqP8mTum/GdnFC+
dHTcbFPGAVWo3WAED56p7Dxc6fsM+6Io9ZEekfGqtpVtyy/j0Dnh4AaPn16W0mgoHCQ330ge/R5y
uYKvh7EtmsCNqJgqqu/KVbwXVxhfpovwCoyn+D1500fha1c2w0mcxkKaLiVKCJY+nZVyQwD6NMqg
aRUUz2Rc5VD/ocO7TDLYPngYCyNOJ8OPtcr73QTQEhOnYFFr4EGU/kjThLggdIF6xwrS+xMOGwFn
sBh2YEu3mMLuwiD5aPushvKAdfGgUVmO90JyXIzJqTS2MmIxuhFCMhqe7ELdI0IzxMMZxeFTX+jX
QIvdqVeA+cX7StjFit8YwTcMo3assdCjrp+AqYGgWtvoz2UDXJ/kZsl4luo1ttuxG1AbjWnQ64y/
Zjx2osYrh1cD54kqrpkkmjWAXlceEypmsatxn6djuMV6bZlX4wW36/sUBMQQTcdwivcIg69LHD6x
6wIHuuqiYQNV9aQn7bmS0n0npgP7/QBDxJnaUw99wB9OSD9fKjO51d0vAGndpp+wTZwu4goKAwUp
ife0fm7ixIjxqPj9yQrhR+fTpQb/0CnUiRFkEYfkaWgpG9UCPc+toXJppHI6IuR6bNR+k/trdUgf
fK1iexUGpTFIO2tF/w7QvHGFzrByJtQZdPu9o9xPAXOCp7fQSIKlGNsxqlVi3xKfuazvmnOoDOC3
1U0UZfsoZBpCcG5nGu1y8kSdOwWuWKOCqOurMLz2Xb1SwuFMdXYtBhNwy3UZqhevAQiUXhrOlNZZ
1wGy8AJ2/UXWH2rJeeMX9boyIleKqnWukXVlYE6q4QjA9ZzKuKlnK9T8jlI7XqwIEpUwMfTy8Gb7
0rvO8V8/1oNx0Cv5Kago8nr+skM69F7DtkSzMJs3vLf4niwoBCI0N+5mpBKDWfLDVTMSUZkH9CkL
6ej1+aOWd0sT/+4Rr9tyiqkw4H1idGeI7ACDqfyKp8YWw6Kd9t6M4tdyHrlNpW3xbNkLo1AyRlR+
AOBXnGmTpmz1K0WlV2077ZyiOdfC3w3kauQNO+oYe/GfFIbrHAUZkDYsGijU+cquNFqkIYbjwNis
9PZcqtxikQ6hJphoBKC8wWQVQtJCJqCFzOpjI2l1ZzFh67S88f545bCyCTdUJUpvTVm+Vb1Lmw74
TwLsCPXhSQ0+4Oj94A/mQdySYk4Q9qNBxLXjJkJ3ieVKCWF6+Pa1bbGTUDJWGke/lhhlsSaCwJeb
k6lzPwor4bg70sW+NfxGkjG7Oe0+oFSy6DWTWy29RQ4gail4rIKD+K1UtQ7zHacMB0UYAHk4ATU4
AinCGggJHeh6mAWZwjYIIfS3kyqMhGBYu4MwF1JxGUqE3ZCM75AdlbeRlvDWEL6swq2oxLYI3cbi
URNORmqPVDlT7CMQmATTePyOzAH8t2W6LHdvk3AatxEA/FR4JCVtfEXm4OjgvLgb83TXYKekSfgq
aR4OS7CKWfSQqchYZxvpPjMGDBAgMT0k8vlZuQdtts+SLPNr4xSOmz5tHlrLxMQsUtdzpfO55jn/
CTf4cwkUNAW7TR9fJJwiF58zaMQ53yFoMgDGah6tFsEiGct0sAWJh/RfEGr3TjUp7vzQj6UC2F1v
1t5EmoynIZmI53rwN4Y8eQeTul75DcVp2yl82v3xfZt05XqUw4tiKRDv0p56+8QU0srbsjFpA0mr
CTJeN8WrDMJM30IfFc4E0tWuP5pw6GKAa2MG8XBslgOCveVytHgF6yKpADyV1tTY0YcU5eC8+fTQ
qgNwALuctnTpDxYtwjVBETkJcsPBGK4TKThmuZ6viL8u+HsnECsMRIpZBVZlYN+qTLFXZdsBt8za
X+lA3GdShD2P44CxgxnUYu9xnyf6xRws9OOKPkP6z4yZblBuIfEBCs3AniL1KZEQ7c2Mg60XUKfw
uogre4sV/ZUsjkSN2xwJjp3KLZCN7Sl1ppMP+JybbTV6BDq6Yf+SoHbzClK+w2Sj5PXKZvpD9A93
n9i6ChNfI+3PajWeUeY6JCb9Ps/eoAdxC/Wt1Fc7DGN+Yl8EhOcr9rCN/AjHyj/geAjLX0TJvQ9w
BtGdbAuLflk7HYgui6Csx/iKiU1rhiNSrl7hf8JzfRWufxmeK99G5xCjHdukjUs/G2Qq+/WFTHEI
iriN+jjf0vP5WMYPvZKcM6s/e/ZwAP82SXgXE74NVrn6Iov5nCh89cvCj+lLvjRHrDokLZqBQq5i
my/40oAXW6hmVkbnRjmOGqITY2I+QB9MmdaIr8II6DiIFskxDyJC+8nPCyDTi58HSWVb7AF6XfDA
vz7w3hKiZV6Rb9WG3IEpDiW2tYRNlyOfsG05mVqIfs5Dg3ijkaJfw2RKPB1E4+YnO/KNNrINpAvK
uEms6Ij/f70jPrgcvGu9bCvGHGo1J4OAKJF2WF29GgvikaQ5WcJOq0QnWalWWdKe6AuucCVyk4Q4
GbYt/dJVYb378Z6J1PDbU+RQJMbfA0Ky/kJQuoj9fopGsLdOS+YG4QT/z9dSjYjN0PfEvgZwqrh9
P99VRU1akIxPBIBnvz7mBr5hzvCkBcw7c1RqG9PR34BIRXdjujSsmBjE3Jsj0Q8hJaqTADyGjYh8
TKffxJGxDbjvRHIgN9ygyXBKg8i1U/k4aca24lr0PrZceYkwSXcSKF1Fv4K2X5esuZ7dbjKKbJVd
n8qx3yb4iMe0lBVQXVhqrzOzWsuUW0usz4fUv0g+Hd5JfmcO+sEZtXtLq4620p68Iv1YOvjZY4NW
oQnB0okkOvbAeDdSKpORG4ZnvUfiExRv3+GVgfDJj6/C94YH0GnVUEzME1T1xThVk9BJc8h/20DF
QCqXj0DTXCitc0A/XJSmevjxD6JK/J3rDj5RFAvwg/zG98bpFZuUmDvTNxEESaI3UYqop3aJcrRG
WW/Xth7fRmgdi0mCR912Z7Jst9RRYSedSDrjQZlQ78kesnw/pd3JcWgAqtkrYIcMBmxWF0k3HjXM
1Cq0u1BBDBtbcDhHTiIrVp89TkzDLRGg2G5vF2u0E40OaDpxr0hGEkYCDiSuog47p6cRZE2XjmQu
NaqVEwH3SX+FJ3svtf2GssJGj5I9FvHrsH5vwwpaKGjzOSaQgwF/QhWfwnDEsHAQ1oWRMDHUC2mB
gqiPs2Fb4XFYYXaIqFqLh1n8pDT43BDA4eS3Slv/VRYPF6h+5zBs7zsyPwJ/7aomBOUVMHoDx0Gy
4DzBA45YuSn6TWQkh3Ss6bKPT51KFJiFVAqCU1k9IEJmtP4D1eajbyDQKqf7wNavKoZ2feem+vg4
oDwkqSgR+8bShoEExO4GqwtNZsAJx6HQtsFobGnR7LrGvpqdchRZJoHSDgt3blfU8uf0LDe3ajsx
7QZumb0eVNZKjgMowcEx/UOv5aAU4EIr3a635Sc8GA+WQnXixyPtO2sebiKCTCLblmq8VMyYLCkv
dUnLKJoq9yKTRCH3qlwsr3gnDjkzi232k9n2e7O+IRPp2jZigoYq3v9iuavouViJPjLZxuSBNflw
/rOVnJ3/9v5ByRPfO/HoqC8xtGFQxk0iyxmijV1GtwvehJpM5wo1pdJ3YHZWi9exXJ4mhDFHu14N
iryrA2SgCO6FMWPUYKSuOSvHQN1PpQoiqYeYbKtT9avFRGhliRsFfAfVrDqK3tsmP4Ow+94mkNQp
DouJOE6HS+urly5iqq6qGK2NaVWM6R4IL43R9qRx/VsvvqnOuGuaZodpzEKkg5Y2XQJHP8QFViAa
mUCd7Q3rNPXD1iC/EjtpEP7QfzuMmokW2YIhs+rs4m1BYcOGsBMOxxgNDqdvz4qFNlc67Gwz2iN9
sg9QBZLqcSeCmiYI9/JkLWOjemR47Cb/1WwFX1OmUCuSM4qKiwHtVESFSijK2aodiPhgInw0WC5Q
fdyXIUKRQ+yqqOUmXEk70bainCF+Tq6YaLrIuGZme07rahWX1lXOZMCozckZEvQM/JUHX1TM4Dpp
4o8HNwoy3xkGdEx1XFWwitKNFyFdphbNQFc42yoJy2eWQnMvIyRVG9K1ykL6S4rh0yZYxysB10ga
wk1fFw/BIL0Br5Us9ak7VGSXON7sWt08tLrt1s3FoB1UUhgQGWPXHet0OOFg+ljbKsTL6BdHILYy
+q80k+nrvxvt+AbzAw0tlVPaZy2evN46p96YGRhWqcx5JZWHjjufIFgEFZC8T61nHMSsWk7dEw7n
oAHrXej1TxYzP1LqN0vL93rBL422K+lobloQb6hpUDT0pOHk2N1JaVv0N4Z1mv8qcmMrjtwKWiXG
fmv4HLtaazfCoFAU42jBXspAPpJXDr2OuH+/EdGYF0OUI4dc+MYBW2Jcd129qk9p1z+N7bARQZBR
i0oJANRoWJjompkekql5fzENjrjFRMbWPJRK3aqx38eGdCJlaJY/vtBIa317oW3iWJZKRVHBLbxY
oktdQ/5ah6XVBMYlrZK9WHDQvOySdtXLnJUk3XsQokT9LMZ53tP0bUXkUcCBEhVOlRGr1caindRl
Bs9HRLsxZc1KhmxPUAQI26SQoudoLRC42BRKLXrQVDey2L7iLrbuy8gV924f7ltJ2mAFuQGDZPXk
QwkIRi8dn8CLHALa/jrFvWgU8r3J3kjli5gAI65+lFFCzIQ3j7Fqwa9G6X502mUV9yef6IOFPS+n
J9ExszJOa6RjV4rKRRPvM418PJpOQzLuUouSqbiZfC2+iWPWJvkyKfIlmuR92ZLaxO8lK9mPOmkf
341DNG8sbNZMpkFQFyLigCKwaxh/CFz0iPi2qK01cAMM70o9UKCG7KuoUPiC0hMErHv6AS2ej6Ic
glLBq4wQ+be8dDZdOuyVRrCjPlZJtIY7tjd1ln84tE+pjEYMU0KMYSP0WuQEAEmSGxJfTUZ2m2R6
Cv34yscfnWmozxZBqWARh8oI6W6EwvMo64vAlvcF+rxjZB1Aut7wezmIqjU0j3tRbUIdeQ1YAkM3
aFE61VsOGpXvsxorx1IKXWiP6ypqT2KpDRmkfWccfG88ir8LddxBhMPL2K3acJ9RTu4Gcw8WH4zF
NEDfBNzkQSpoEn0rpkFRWctJ3PSme6X0qzmJHduzPfZPSh69mSjOKK38RnLF9NdSJJe9aK/SOkCT
5qaH0V7JWrK+4KbD5xCSisgGQyjtQAt5EWgXf2cYxlVU2rBHWFfcRtjrXFlLd1HCPE6YVwRvotJ8
FJGLkowX8JzXyA9WuaeulHh66gLWHJb1LksBWURu4FBHdKo1oPl7VClC21+LWlvTJJQXYUzmmJXH
blGMu3nA0/QQ8VzIejj0nE+mEZ2qgI5OgcjGk8I6OOBbqCHeq2n/IFaBTG9I5Qx03NF28J9koZEp
BpyovkasbsVAEA8p1XWGlBYE5YXa6i4IZCJfN7GkYTqQwMHtSqrOzIuiTjgV3ocfTx+YN31v+rAQ
MJMxVNOhBfH+FzFJMiIOoupGuq2t8SmrOZFTjzLAW+pcFDxaPViIrNBu00fKmPRoeoT3sqWoPYuB
VcOkXdgNwXjjUCLO++SUxMY8f84bsNT3CFM9dVX4EUzGU2TjgWEMB1bRN1Aul0CvEKwRRtPUg6DN
vY6FAbWMgOIQAtXQhTk1TjL6Ssav2hHG1ZqwsNba9phaZMu+CujeKIhd7WmPH+RVEVUkU1hhDyam
2Aru2EWFtq1Ph3uBqMW5yqmFNjm1TRlnpMUhI2vHSLNFtzvf9FFAJbx9g5HFxSnJ1bqPcqUV99BD
Por5JZg0oL8RukQyLGjzYOrNbqUyOYk55w0IYMQZKzrdwU22CQe6/qLJUIdwxG1wbQ0Ut8urlVhM
k7BhHq7XuQlRtSfmEgtgm+zBNK3F/VdbzhtFe9PR10gi+Si2JuIVXxU5aujGr6TKWuX0BMSoQCTm
IDaCrjJsDZINUnSJdgL0H1eE/DoiE0psbo18fEIuadVSt09HhPEdZb2tCsKRvD3Jj2FpQacY+w3k
QaalAi+m+mPStGcNyJG4oRvr9xj8/wyh7/OBCBvD1dxPf91+qMbTh7pNmv/qQ4t35wb0Of+ffej3
hvb3N/SZzveTTj7FG52V/6tO/rxT8x7/aBvJDbZg+9uHf/5dN+403TR1heXAUCGVk58keeZ/fhuF
qzt6/IouW8KFEQ3WT5zEL07SvzsNPz7CT+fzx5/56gie8jZrxHXwwzz7CpYgdvmPnIMXW3g+B5pz
Z1AUNAAmaJwHanNfnwPHuUNBVKNoJ0pSsm6SVvKD//vn4PabEP2jdVOFT82X50ADVkmw/0fOwott
PJ8FXb+TLUPlXw3PS4rDL0aCpd6Zgihq4mymkUMLwMdf6yyoMkyaP3sW1DvFUhkMiOnYhjFf6y/v
B0u5M2VDlqnkmlRRZz7tX+ssUGVgPf9zQ0G5MyzoUhTnje9NCgwFiwKyPZuu/rWO/jP7+c8dvgx+
yTQdy3HE3T4jmL4aA9Yd9wBVJIuRgMezgDH9xc6Cxpz9ZweBeof1N/xvUSkT9o4v5wPjzqSTgQw5
tQ7kw5S/3KxIZ+MbpNt/e33kfldtamoyk54OHf7lWeBWwXBTFPi4YwR67a83FqgG/dmxoN2ZtmEi
BcDyKJbAFysks6KBia8mVAFEU+cvdzcIVec/OyeINikXWDY/yx58FSdZ6CxYNu64hkXlBfz3pzn4
D8UIf+BDBJ7iU0/Jh1v1r/8EAAD//w==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2.xml"/><Relationship Id="rId3" Type="http://schemas.openxmlformats.org/officeDocument/2006/relationships/image" Target="../media/image3.svg"/><Relationship Id="rId21" Type="http://schemas.openxmlformats.org/officeDocument/2006/relationships/image" Target="../media/image21.png"/><Relationship Id="rId7" Type="http://schemas.openxmlformats.org/officeDocument/2006/relationships/image" Target="../media/image7.sv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1.xml"/><Relationship Id="rId33" Type="http://schemas.openxmlformats.org/officeDocument/2006/relationships/image" Target="../media/image28.svg"/><Relationship Id="rId2" Type="http://schemas.openxmlformats.org/officeDocument/2006/relationships/image" Target="../media/image2.pn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image" Target="../media/image27.png"/><Relationship Id="rId5" Type="http://schemas.openxmlformats.org/officeDocument/2006/relationships/image" Target="../media/image5.sv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chart" Target="../charts/chart4.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6.sv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chart" Target="../charts/chart3.xml"/><Relationship Id="rId30" Type="http://schemas.openxmlformats.org/officeDocument/2006/relationships/image" Target="../media/image25.png"/><Relationship Id="rId8"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342900</xdr:colOff>
      <xdr:row>35</xdr:row>
      <xdr:rowOff>133350</xdr:rowOff>
    </xdr:to>
    <xdr:sp macro="[0]!Rectangle1_Click" textlink="">
      <xdr:nvSpPr>
        <xdr:cNvPr id="2" name="Rectangle 1">
          <a:extLst>
            <a:ext uri="{FF2B5EF4-FFF2-40B4-BE49-F238E27FC236}">
              <a16:creationId xmlns:a16="http://schemas.microsoft.com/office/drawing/2014/main" id="{885937D4-E987-4525-BDA1-9586014C443A}"/>
            </a:ext>
          </a:extLst>
        </xdr:cNvPr>
        <xdr:cNvSpPr/>
      </xdr:nvSpPr>
      <xdr:spPr>
        <a:xfrm>
          <a:off x="0" y="0"/>
          <a:ext cx="14973300" cy="6467475"/>
        </a:xfrm>
        <a:prstGeom prst="rect">
          <a:avLst/>
        </a:prstGeom>
        <a:blipFill dpi="0" rotWithShape="1">
          <a:blip xmlns:r="http://schemas.openxmlformats.org/officeDocument/2006/relationships" r:embed="rId1"/>
          <a:srcRect/>
          <a:stretch>
            <a:fillRect/>
          </a:stretch>
        </a:bli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24</xdr:col>
      <xdr:colOff>330200</xdr:colOff>
      <xdr:row>24</xdr:row>
      <xdr:rowOff>71120</xdr:rowOff>
    </xdr:to>
    <xdr:grpSp>
      <xdr:nvGrpSpPr>
        <xdr:cNvPr id="49" name="Dashboard_Theme_1" hidden="1">
          <a:extLst>
            <a:ext uri="{FF2B5EF4-FFF2-40B4-BE49-F238E27FC236}">
              <a16:creationId xmlns:a16="http://schemas.microsoft.com/office/drawing/2014/main" id="{0A60FE3B-A9A5-4203-99AE-7FBBDA518D37}"/>
            </a:ext>
          </a:extLst>
        </xdr:cNvPr>
        <xdr:cNvGrpSpPr/>
      </xdr:nvGrpSpPr>
      <xdr:grpSpPr>
        <a:xfrm>
          <a:off x="0" y="0"/>
          <a:ext cx="14960600" cy="4460240"/>
          <a:chOff x="12700" y="5080"/>
          <a:chExt cx="14960600" cy="4414520"/>
        </a:xfrm>
      </xdr:grpSpPr>
      <xdr:sp macro="" textlink="">
        <xdr:nvSpPr>
          <xdr:cNvPr id="4" name="Dashboard_Header_1" hidden="1">
            <a:extLst>
              <a:ext uri="{FF2B5EF4-FFF2-40B4-BE49-F238E27FC236}">
                <a16:creationId xmlns:a16="http://schemas.microsoft.com/office/drawing/2014/main" id="{3D767EA5-4D2C-4075-960A-675C93C734F8}"/>
              </a:ext>
            </a:extLst>
          </xdr:cNvPr>
          <xdr:cNvSpPr/>
        </xdr:nvSpPr>
        <xdr:spPr>
          <a:xfrm>
            <a:off x="12700" y="5080"/>
            <a:ext cx="14960600" cy="659765"/>
          </a:xfrm>
          <a:prstGeom prst="rect">
            <a:avLst/>
          </a:prstGeom>
          <a:gradFill>
            <a:gsLst>
              <a:gs pos="5000">
                <a:schemeClr val="tx1">
                  <a:alpha val="80000"/>
                </a:schemeClr>
              </a:gs>
              <a:gs pos="60000">
                <a:srgbClr val="9966FF">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Times New Roman" panose="02020603050405020304" pitchFamily="18" charset="0"/>
              <a:cs typeface="Times New Roman" panose="02020603050405020304" pitchFamily="18" charset="0"/>
            </a:endParaRPr>
          </a:p>
        </xdr:txBody>
      </xdr:sp>
      <xdr:sp macro="" textlink="">
        <xdr:nvSpPr>
          <xdr:cNvPr id="95" name="Dashboard_Layout_1" hidden="1">
            <a:extLst>
              <a:ext uri="{FF2B5EF4-FFF2-40B4-BE49-F238E27FC236}">
                <a16:creationId xmlns:a16="http://schemas.microsoft.com/office/drawing/2014/main" id="{FD9991DA-849B-49D7-816E-8299E423745B}"/>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alpha val="80000"/>
                </a:schemeClr>
              </a:gs>
              <a:gs pos="100000">
                <a:srgbClr val="9966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Times New Roman" panose="02020603050405020304" pitchFamily="18" charset="0"/>
              <a:cs typeface="Times New Roman" panose="02020603050405020304" pitchFamily="18" charset="0"/>
            </a:endParaRPr>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96" name="Dashboard_Theme_2" hidden="1">
          <a:extLst>
            <a:ext uri="{FF2B5EF4-FFF2-40B4-BE49-F238E27FC236}">
              <a16:creationId xmlns:a16="http://schemas.microsoft.com/office/drawing/2014/main" id="{6DB12E50-90FD-48A5-A353-385AC28161A2}"/>
            </a:ext>
          </a:extLst>
        </xdr:cNvPr>
        <xdr:cNvGrpSpPr/>
      </xdr:nvGrpSpPr>
      <xdr:grpSpPr>
        <a:xfrm>
          <a:off x="0" y="0"/>
          <a:ext cx="14960600" cy="4460240"/>
          <a:chOff x="12700" y="5080"/>
          <a:chExt cx="14960600" cy="4414520"/>
        </a:xfrm>
      </xdr:grpSpPr>
      <xdr:sp macro="" textlink="">
        <xdr:nvSpPr>
          <xdr:cNvPr id="97" name="Dashboard_Header_2" hidden="1">
            <a:extLst>
              <a:ext uri="{FF2B5EF4-FFF2-40B4-BE49-F238E27FC236}">
                <a16:creationId xmlns:a16="http://schemas.microsoft.com/office/drawing/2014/main" id="{9C802F4E-CFDE-4BC5-B98E-04389347B4AA}"/>
              </a:ext>
            </a:extLst>
          </xdr:cNvPr>
          <xdr:cNvSpPr/>
        </xdr:nvSpPr>
        <xdr:spPr>
          <a:xfrm>
            <a:off x="12700" y="5080"/>
            <a:ext cx="14960600" cy="659765"/>
          </a:xfrm>
          <a:prstGeom prst="rect">
            <a:avLst/>
          </a:prstGeom>
          <a:gradFill>
            <a:gsLst>
              <a:gs pos="0">
                <a:srgbClr val="002060"/>
              </a:gs>
              <a:gs pos="60000">
                <a:srgbClr val="33CC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Dashboard_Layout_2" hidden="1">
            <a:extLst>
              <a:ext uri="{FF2B5EF4-FFF2-40B4-BE49-F238E27FC236}">
                <a16:creationId xmlns:a16="http://schemas.microsoft.com/office/drawing/2014/main" id="{C78E46AA-EE25-4D3B-93B3-53D7FF1A3492}"/>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
                <a:srgbClr val="002060"/>
              </a:gs>
              <a:gs pos="100000">
                <a:srgbClr val="33CCCC">
                  <a:alpha val="80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28575</xdr:colOff>
      <xdr:row>0</xdr:row>
      <xdr:rowOff>19050</xdr:rowOff>
    </xdr:from>
    <xdr:to>
      <xdr:col>24</xdr:col>
      <xdr:colOff>358775</xdr:colOff>
      <xdr:row>24</xdr:row>
      <xdr:rowOff>71120</xdr:rowOff>
    </xdr:to>
    <xdr:grpSp>
      <xdr:nvGrpSpPr>
        <xdr:cNvPr id="99" name="Dashboard_Theme_3" hidden="1">
          <a:extLst>
            <a:ext uri="{FF2B5EF4-FFF2-40B4-BE49-F238E27FC236}">
              <a16:creationId xmlns:a16="http://schemas.microsoft.com/office/drawing/2014/main" id="{9CFCA166-0BCB-4F8C-8257-1AE90A750E0D}"/>
            </a:ext>
          </a:extLst>
        </xdr:cNvPr>
        <xdr:cNvGrpSpPr/>
      </xdr:nvGrpSpPr>
      <xdr:grpSpPr>
        <a:xfrm>
          <a:off x="28575" y="19050"/>
          <a:ext cx="14960600" cy="4441190"/>
          <a:chOff x="41275" y="24130"/>
          <a:chExt cx="14960600" cy="4395470"/>
        </a:xfrm>
      </xdr:grpSpPr>
      <xdr:sp macro="" textlink="">
        <xdr:nvSpPr>
          <xdr:cNvPr id="100" name="Dashboard_Header_3" hidden="1">
            <a:extLst>
              <a:ext uri="{FF2B5EF4-FFF2-40B4-BE49-F238E27FC236}">
                <a16:creationId xmlns:a16="http://schemas.microsoft.com/office/drawing/2014/main" id="{FBE530DF-1E6A-4E5D-8D84-732A34F35259}"/>
              </a:ext>
            </a:extLst>
          </xdr:cNvPr>
          <xdr:cNvSpPr/>
        </xdr:nvSpPr>
        <xdr:spPr>
          <a:xfrm>
            <a:off x="41275" y="24130"/>
            <a:ext cx="14960600" cy="659765"/>
          </a:xfrm>
          <a:prstGeom prst="rect">
            <a:avLst/>
          </a:prstGeom>
          <a:gradFill>
            <a:gsLst>
              <a:gs pos="5000">
                <a:schemeClr val="tx1">
                  <a:alpha val="80000"/>
                </a:schemeClr>
              </a:gs>
              <a:gs pos="80000">
                <a:schemeClr val="tx1"/>
              </a:gs>
              <a:gs pos="40000">
                <a:srgbClr val="FF66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Dashboard_Layout_3" hidden="1">
            <a:extLst>
              <a:ext uri="{FF2B5EF4-FFF2-40B4-BE49-F238E27FC236}">
                <a16:creationId xmlns:a16="http://schemas.microsoft.com/office/drawing/2014/main" id="{9F7132E0-040F-4E66-BB89-512909020C4A}"/>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0">
                <a:schemeClr val="tx1"/>
              </a:gs>
              <a:gs pos="0">
                <a:schemeClr val="tx1">
                  <a:alpha val="80000"/>
                </a:schemeClr>
              </a:gs>
              <a:gs pos="50000">
                <a:srgbClr val="FF66CC">
                  <a:alpha val="80000"/>
                </a:srgb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102" name="Dashboard_Theme_4">
          <a:extLst>
            <a:ext uri="{FF2B5EF4-FFF2-40B4-BE49-F238E27FC236}">
              <a16:creationId xmlns:a16="http://schemas.microsoft.com/office/drawing/2014/main" id="{F122463E-08EE-469D-A4EB-AAB2BDB28E8B}"/>
            </a:ext>
          </a:extLst>
        </xdr:cNvPr>
        <xdr:cNvGrpSpPr/>
      </xdr:nvGrpSpPr>
      <xdr:grpSpPr>
        <a:xfrm>
          <a:off x="0" y="0"/>
          <a:ext cx="14960600" cy="4460240"/>
          <a:chOff x="12700" y="5080"/>
          <a:chExt cx="14960600" cy="4414520"/>
        </a:xfrm>
      </xdr:grpSpPr>
      <xdr:sp macro="" textlink="">
        <xdr:nvSpPr>
          <xdr:cNvPr id="103" name="Dashboard_Header_4">
            <a:extLst>
              <a:ext uri="{FF2B5EF4-FFF2-40B4-BE49-F238E27FC236}">
                <a16:creationId xmlns:a16="http://schemas.microsoft.com/office/drawing/2014/main" id="{7B2B541A-D1BF-49CF-80DB-2D1B35DEAFD0}"/>
              </a:ext>
            </a:extLst>
          </xdr:cNvPr>
          <xdr:cNvSpPr/>
        </xdr:nvSpPr>
        <xdr:spPr>
          <a:xfrm>
            <a:off x="12700" y="5080"/>
            <a:ext cx="14960600" cy="659765"/>
          </a:xfrm>
          <a:prstGeom prst="rect">
            <a:avLst/>
          </a:prstGeom>
          <a:gradFill flip="none" rotWithShape="1">
            <a:gsLst>
              <a:gs pos="10000">
                <a:schemeClr val="tx1">
                  <a:alpha val="80000"/>
                </a:schemeClr>
              </a:gs>
              <a:gs pos="60000">
                <a:schemeClr val="accent3">
                  <a:alpha val="80000"/>
                </a:schemeClr>
              </a:gs>
            </a:gsLst>
            <a:lin ang="10800000" scaled="1"/>
            <a:tileRect/>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Dashboard_Layout_4">
            <a:extLst>
              <a:ext uri="{FF2B5EF4-FFF2-40B4-BE49-F238E27FC236}">
                <a16:creationId xmlns:a16="http://schemas.microsoft.com/office/drawing/2014/main" id="{F4921487-B63C-43F9-8EDF-C223BE39FF46}"/>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26000">
                <a:schemeClr val="tx1">
                  <a:alpha val="80000"/>
                </a:schemeClr>
              </a:gs>
              <a:gs pos="100000">
                <a:schemeClr val="accent3">
                  <a:alpha val="80000"/>
                </a:scheme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xdr:col>
      <xdr:colOff>32374</xdr:colOff>
      <xdr:row>25</xdr:row>
      <xdr:rowOff>5443</xdr:rowOff>
    </xdr:from>
    <xdr:to>
      <xdr:col>19</xdr:col>
      <xdr:colOff>361950</xdr:colOff>
      <xdr:row>29</xdr:row>
      <xdr:rowOff>166551</xdr:rowOff>
    </xdr:to>
    <xdr:sp macro="" textlink="">
      <xdr:nvSpPr>
        <xdr:cNvPr id="7" name="Blackbox1">
          <a:extLst>
            <a:ext uri="{FF2B5EF4-FFF2-40B4-BE49-F238E27FC236}">
              <a16:creationId xmlns:a16="http://schemas.microsoft.com/office/drawing/2014/main" id="{886EC007-F44B-4011-957C-2C97EDB47248}"/>
            </a:ext>
          </a:extLst>
        </xdr:cNvPr>
        <xdr:cNvSpPr/>
      </xdr:nvSpPr>
      <xdr:spPr>
        <a:xfrm>
          <a:off x="641974" y="4529818"/>
          <a:ext cx="11302376" cy="8850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561974</xdr:colOff>
      <xdr:row>4</xdr:row>
      <xdr:rowOff>114301</xdr:rowOff>
    </xdr:from>
    <xdr:to>
      <xdr:col>23</xdr:col>
      <xdr:colOff>9525</xdr:colOff>
      <xdr:row>29</xdr:row>
      <xdr:rowOff>167806</xdr:rowOff>
    </xdr:to>
    <xdr:sp macro="" textlink="">
      <xdr:nvSpPr>
        <xdr:cNvPr id="105" name="Blackbox2">
          <a:extLst>
            <a:ext uri="{FF2B5EF4-FFF2-40B4-BE49-F238E27FC236}">
              <a16:creationId xmlns:a16="http://schemas.microsoft.com/office/drawing/2014/main" id="{5E976C9C-E5A4-4179-BF0B-510920D9EF29}"/>
            </a:ext>
          </a:extLst>
        </xdr:cNvPr>
        <xdr:cNvSpPr/>
      </xdr:nvSpPr>
      <xdr:spPr>
        <a:xfrm>
          <a:off x="12165281" y="840539"/>
          <a:ext cx="1890352" cy="459249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7</xdr:col>
      <xdr:colOff>104775</xdr:colOff>
      <xdr:row>0</xdr:row>
      <xdr:rowOff>0</xdr:rowOff>
    </xdr:from>
    <xdr:to>
      <xdr:col>16</xdr:col>
      <xdr:colOff>112395</xdr:colOff>
      <xdr:row>3</xdr:row>
      <xdr:rowOff>114300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4371975" y="0"/>
          <a:ext cx="549402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0]!ViewUser"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View User Licenses</a:t>
            </a:r>
          </a:p>
        </xdr:txBody>
      </xdr:sp>
      <xdr:pic macro="[0]!ViewUser">
        <xdr:nvPicPr>
          <xdr:cNvPr id="15" name="Graphic 14" descr="Employee badge">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361420" y="484632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9</xdr:col>
      <xdr:colOff>600075</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17134</xdr:colOff>
      <xdr:row>16</xdr:row>
      <xdr:rowOff>34290</xdr:rowOff>
    </xdr:from>
    <xdr:to>
      <xdr:col>5</xdr:col>
      <xdr:colOff>533400</xdr:colOff>
      <xdr:row>23</xdr:row>
      <xdr:rowOff>171450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xdr:col>
      <xdr:colOff>85725</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oneCell">
    <xdr:from>
      <xdr:col>19</xdr:col>
      <xdr:colOff>597244</xdr:colOff>
      <xdr:row>23</xdr:row>
      <xdr:rowOff>41189</xdr:rowOff>
    </xdr:from>
    <xdr:to>
      <xdr:col>22</xdr:col>
      <xdr:colOff>597243</xdr:colOff>
      <xdr:row>29</xdr:row>
      <xdr:rowOff>61784</xdr:rowOff>
    </xdr:to>
    <mc:AlternateContent xmlns:mc="http://schemas.openxmlformats.org/markup-compatibility/2006" xmlns:a14="http://schemas.microsoft.com/office/drawing/2010/main">
      <mc:Choice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2179644" y="4247429"/>
              <a:ext cx="1828799" cy="111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15</xdr:row>
      <xdr:rowOff>26568</xdr:rowOff>
    </xdr:from>
    <xdr:to>
      <xdr:col>22</xdr:col>
      <xdr:colOff>597243</xdr:colOff>
      <xdr:row>23</xdr:row>
      <xdr:rowOff>10297</xdr:rowOff>
    </xdr:to>
    <mc:AlternateContent xmlns:mc="http://schemas.openxmlformats.org/markup-compatibility/2006" xmlns:a14="http://schemas.microsoft.com/office/drawing/2010/main">
      <mc:Choice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2179644" y="2769768"/>
              <a:ext cx="1828799" cy="144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5</xdr:row>
      <xdr:rowOff>1029</xdr:rowOff>
    </xdr:from>
    <xdr:to>
      <xdr:col>22</xdr:col>
      <xdr:colOff>597243</xdr:colOff>
      <xdr:row>15</xdr:row>
      <xdr:rowOff>0</xdr:rowOff>
    </xdr:to>
    <mc:AlternateContent xmlns:mc="http://schemas.openxmlformats.org/markup-compatibility/2006" xmlns:a14="http://schemas.microsoft.com/office/drawing/2010/main">
      <mc:Choice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mlns="">
        <xdr:sp macro="" textlink="">
          <xdr:nvSpPr>
            <xdr:cNvPr id="0" name=""/>
            <xdr:cNvSpPr>
              <a:spLocks noTextEdit="1"/>
            </xdr:cNvSpPr>
          </xdr:nvSpPr>
          <xdr:spPr>
            <a:xfrm>
              <a:off x="12179644" y="915429"/>
              <a:ext cx="1828799" cy="1827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236765</xdr:colOff>
      <xdr:row>14</xdr:row>
      <xdr:rowOff>13608</xdr:rowOff>
    </xdr:from>
    <xdr:to>
      <xdr:col>5</xdr:col>
      <xdr:colOff>530679</xdr:colOff>
      <xdr:row>15</xdr:row>
      <xdr:rowOff>122465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3284765" y="2547258"/>
          <a:ext cx="293914" cy="289832"/>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160565</xdr:colOff>
      <xdr:row>4</xdr:row>
      <xdr:rowOff>116478</xdr:rowOff>
    </xdr:from>
    <xdr:to>
      <xdr:col>13</xdr:col>
      <xdr:colOff>454479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8085365" y="840378"/>
          <a:ext cx="293914" cy="28792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7893</xdr:rowOff>
    </xdr:from>
    <xdr:to>
      <xdr:col>13</xdr:col>
      <xdr:colOff>458289</xdr:colOff>
      <xdr:row>15</xdr:row>
      <xdr:rowOff>116750</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8089175" y="2541543"/>
          <a:ext cx="293914" cy="289832"/>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Shows</a:t>
            </a:r>
            <a:r>
              <a:rPr lang="en-US" sz="1100" baseline="0">
                <a:latin typeface="Times New Roman" panose="02020603050405020304" pitchFamily="18" charset="0"/>
                <a:cs typeface="Times New Roman" panose="02020603050405020304" pitchFamily="18" charset="0"/>
              </a:rPr>
              <a:t> how the licenses are distributed amongst different components and ranks within the organization.</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1624855" y="840378"/>
          <a:ext cx="293914" cy="28792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Graphic</a:t>
            </a:r>
            <a:r>
              <a:rPr lang="en-US" sz="1100" baseline="0">
                <a:latin typeface="Times New Roman" panose="02020603050405020304" pitchFamily="18" charset="0"/>
                <a:cs typeface="Times New Roman" panose="02020603050405020304" pitchFamily="18" charset="0"/>
              </a:rPr>
              <a:t> for viewing different license types and their respective availabilities.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xdr:from>
      <xdr:col>6</xdr:col>
      <xdr:colOff>392430</xdr:colOff>
      <xdr:row>3</xdr:row>
      <xdr:rowOff>62865</xdr:rowOff>
    </xdr:from>
    <xdr:to>
      <xdr:col>8</xdr:col>
      <xdr:colOff>605790</xdr:colOff>
      <xdr:row>11</xdr:row>
      <xdr:rowOff>93345</xdr:rowOff>
    </xdr:to>
    <xdr:grpSp>
      <xdr:nvGrpSpPr>
        <xdr:cNvPr id="48" name="Settings_Frame" hidden="1">
          <a:extLst>
            <a:ext uri="{FF2B5EF4-FFF2-40B4-BE49-F238E27FC236}">
              <a16:creationId xmlns:a16="http://schemas.microsoft.com/office/drawing/2014/main" id="{6D08ACE4-FD3C-4427-91BF-B4D381101B2C}"/>
            </a:ext>
          </a:extLst>
        </xdr:cNvPr>
        <xdr:cNvGrpSpPr/>
      </xdr:nvGrpSpPr>
      <xdr:grpSpPr>
        <a:xfrm>
          <a:off x="4050030" y="611505"/>
          <a:ext cx="1432560" cy="1493520"/>
          <a:chOff x="1440180" y="640080"/>
          <a:chExt cx="1432560" cy="1493520"/>
        </a:xfrm>
      </xdr:grpSpPr>
      <xdr:sp macro="" textlink="">
        <xdr:nvSpPr>
          <xdr:cNvPr id="23" name="Speech Bubble: Rectangle with Corners Rounded 22" hidden="1">
            <a:extLst>
              <a:ext uri="{FF2B5EF4-FFF2-40B4-BE49-F238E27FC236}">
                <a16:creationId xmlns:a16="http://schemas.microsoft.com/office/drawing/2014/main" id="{67852E74-343F-416C-B92C-5793CCDDD498}"/>
              </a:ext>
            </a:extLst>
          </xdr:cNvPr>
          <xdr:cNvSpPr/>
        </xdr:nvSpPr>
        <xdr:spPr>
          <a:xfrm flipV="1">
            <a:off x="1440180" y="640080"/>
            <a:ext cx="1432560" cy="1493520"/>
          </a:xfrm>
          <a:prstGeom prst="wedgeRoundRectCallout">
            <a:avLst>
              <a:gd name="adj1" fmla="val -20833"/>
              <a:gd name="adj2" fmla="val 56352"/>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hidden="1">
            <a:extLst>
              <a:ext uri="{FF2B5EF4-FFF2-40B4-BE49-F238E27FC236}">
                <a16:creationId xmlns:a16="http://schemas.microsoft.com/office/drawing/2014/main" id="{40B9F1F0-F608-4FF5-B9FA-D267B69CE3EC}"/>
              </a:ext>
            </a:extLst>
          </xdr:cNvPr>
          <xdr:cNvSpPr txBox="1"/>
        </xdr:nvSpPr>
        <xdr:spPr>
          <a:xfrm>
            <a:off x="1440180" y="150114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Info Buttons Visibility</a:t>
            </a:r>
          </a:p>
        </xdr:txBody>
      </xdr:sp>
      <xdr:sp macro="" textlink="">
        <xdr:nvSpPr>
          <xdr:cNvPr id="89" name="TextBox 88" hidden="1">
            <a:extLst>
              <a:ext uri="{FF2B5EF4-FFF2-40B4-BE49-F238E27FC236}">
                <a16:creationId xmlns:a16="http://schemas.microsoft.com/office/drawing/2014/main" id="{5D5D41B1-00FF-4D81-BE6D-182FC8E6E7CE}"/>
              </a:ext>
            </a:extLst>
          </xdr:cNvPr>
          <xdr:cNvSpPr txBox="1"/>
        </xdr:nvSpPr>
        <xdr:spPr>
          <a:xfrm>
            <a:off x="1440180" y="78486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Color Theme</a:t>
            </a:r>
          </a:p>
        </xdr:txBody>
      </xdr:sp>
    </xdr:grpSp>
    <xdr:clientData/>
  </xdr:twoCellAnchor>
  <xdr:twoCellAnchor>
    <xdr:from>
      <xdr:col>6</xdr:col>
      <xdr:colOff>445770</xdr:colOff>
      <xdr:row>5</xdr:row>
      <xdr:rowOff>123825</xdr:rowOff>
    </xdr:from>
    <xdr:to>
      <xdr:col>7</xdr:col>
      <xdr:colOff>476250</xdr:colOff>
      <xdr:row>6</xdr:row>
      <xdr:rowOff>123825</xdr:rowOff>
    </xdr:to>
    <xdr:sp macro="[0]!Sheet1.Display_Theme_1" textlink="">
      <xdr:nvSpPr>
        <xdr:cNvPr id="35" name="Theme_Button_1" hidden="1">
          <a:extLst>
            <a:ext uri="{FF2B5EF4-FFF2-40B4-BE49-F238E27FC236}">
              <a16:creationId xmlns:a16="http://schemas.microsoft.com/office/drawing/2014/main" id="{FFA6563F-879A-4873-A3F1-4A991FF5326B}"/>
            </a:ext>
          </a:extLst>
        </xdr:cNvPr>
        <xdr:cNvSpPr/>
      </xdr:nvSpPr>
      <xdr:spPr>
        <a:xfrm>
          <a:off x="41033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1</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5</xdr:row>
      <xdr:rowOff>123825</xdr:rowOff>
    </xdr:from>
    <xdr:to>
      <xdr:col>8</xdr:col>
      <xdr:colOff>552450</xdr:colOff>
      <xdr:row>6</xdr:row>
      <xdr:rowOff>123825</xdr:rowOff>
    </xdr:to>
    <xdr:sp macro="[0]!Sheet1.Display_Theme_2" textlink="">
      <xdr:nvSpPr>
        <xdr:cNvPr id="91" name="Theme_Button_2" hidden="1">
          <a:extLst>
            <a:ext uri="{FF2B5EF4-FFF2-40B4-BE49-F238E27FC236}">
              <a16:creationId xmlns:a16="http://schemas.microsoft.com/office/drawing/2014/main" id="{191ECF27-9B00-44E1-A59D-8F75F8ABEC1B}"/>
            </a:ext>
          </a:extLst>
        </xdr:cNvPr>
        <xdr:cNvSpPr/>
      </xdr:nvSpPr>
      <xdr:spPr>
        <a:xfrm>
          <a:off x="47891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2</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445770</xdr:colOff>
      <xdr:row>6</xdr:row>
      <xdr:rowOff>167640</xdr:rowOff>
    </xdr:from>
    <xdr:to>
      <xdr:col>7</xdr:col>
      <xdr:colOff>476250</xdr:colOff>
      <xdr:row>7</xdr:row>
      <xdr:rowOff>167640</xdr:rowOff>
    </xdr:to>
    <xdr:sp macro="[0]!Sheet1.Display_Theme_3" textlink="">
      <xdr:nvSpPr>
        <xdr:cNvPr id="92" name="Theme_Button_3" hidden="1">
          <a:extLst>
            <a:ext uri="{FF2B5EF4-FFF2-40B4-BE49-F238E27FC236}">
              <a16:creationId xmlns:a16="http://schemas.microsoft.com/office/drawing/2014/main" id="{E3707A4C-2B6F-4FAF-8471-B8ACF01A2645}"/>
            </a:ext>
          </a:extLst>
        </xdr:cNvPr>
        <xdr:cNvSpPr/>
      </xdr:nvSpPr>
      <xdr:spPr>
        <a:xfrm>
          <a:off x="4103370" y="125349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3</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6</xdr:row>
      <xdr:rowOff>167640</xdr:rowOff>
    </xdr:from>
    <xdr:to>
      <xdr:col>8</xdr:col>
      <xdr:colOff>552450</xdr:colOff>
      <xdr:row>7</xdr:row>
      <xdr:rowOff>167640</xdr:rowOff>
    </xdr:to>
    <xdr:sp macro="[0]!Sheet1.Display_Theme_4" textlink="">
      <xdr:nvSpPr>
        <xdr:cNvPr id="93" name="Theme_Button_4" hidden="1">
          <a:extLst>
            <a:ext uri="{FF2B5EF4-FFF2-40B4-BE49-F238E27FC236}">
              <a16:creationId xmlns:a16="http://schemas.microsoft.com/office/drawing/2014/main" id="{ADAEA3AA-ADF5-4394-96F3-9EE9B11B4917}"/>
            </a:ext>
          </a:extLst>
        </xdr:cNvPr>
        <xdr:cNvSpPr/>
      </xdr:nvSpPr>
      <xdr:spPr>
        <a:xfrm>
          <a:off x="4789170" y="1253490"/>
          <a:ext cx="640080" cy="180975"/>
        </a:xfrm>
        <a:prstGeom prst="roundRect">
          <a:avLst>
            <a:gd name="adj" fmla="val 50000"/>
          </a:avLst>
        </a:prstGeom>
        <a:solidFill>
          <a:srgbClr val="0070C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FFFFFF"/>
              </a:solidFill>
              <a:latin typeface="Times New Roman" panose="02020603050405020304" pitchFamily="18" charset="0"/>
              <a:cs typeface="Times New Roman" panose="02020603050405020304" pitchFamily="18" charset="0"/>
            </a:rPr>
            <a:t>Theme</a:t>
          </a:r>
          <a:r>
            <a:rPr lang="en-US" sz="900" baseline="0">
              <a:solidFill>
                <a:srgbClr val="FFFFFF"/>
              </a:solidFill>
              <a:latin typeface="Times New Roman" panose="02020603050405020304" pitchFamily="18" charset="0"/>
              <a:cs typeface="Times New Roman" panose="02020603050405020304" pitchFamily="18" charset="0"/>
            </a:rPr>
            <a:t> 4</a:t>
          </a:r>
          <a:endParaRPr lang="en-US" sz="900">
            <a:solidFill>
              <a:srgbClr val="FFFFFF"/>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25810</xdr:colOff>
      <xdr:row>0</xdr:row>
      <xdr:rowOff>149594</xdr:rowOff>
    </xdr:from>
    <xdr:to>
      <xdr:col>7</xdr:col>
      <xdr:colOff>362245</xdr:colOff>
      <xdr:row>2</xdr:row>
      <xdr:rowOff>152173</xdr:rowOff>
    </xdr:to>
    <xdr:pic macro="[0]!Sheet1.Change_Settings_Visibility">
      <xdr:nvPicPr>
        <xdr:cNvPr id="41" name="Settings_Button"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4293010" y="149594"/>
          <a:ext cx="336435" cy="364529"/>
        </a:xfrm>
        <a:prstGeom prst="ellipse">
          <a:avLst/>
        </a:prstGeom>
        <a:effectLst>
          <a:outerShdw blurRad="76200" sx="110000" sy="110000" algn="ctr" rotWithShape="0">
            <a:schemeClr val="bg2">
              <a:alpha val="40000"/>
            </a:schemeClr>
          </a:outerShdw>
        </a:effectLst>
      </xdr:spPr>
    </xdr:pic>
    <xdr:clientData/>
  </xdr:twoCellAnchor>
  <xdr:twoCellAnchor>
    <xdr:from>
      <xdr:col>7</xdr:col>
      <xdr:colOff>428625</xdr:colOff>
      <xdr:row>9</xdr:row>
      <xdr:rowOff>95251</xdr:rowOff>
    </xdr:from>
    <xdr:to>
      <xdr:col>8</xdr:col>
      <xdr:colOff>447675</xdr:colOff>
      <xdr:row>10</xdr:row>
      <xdr:rowOff>123826</xdr:rowOff>
    </xdr:to>
    <xdr:sp macro="" textlink="">
      <xdr:nvSpPr>
        <xdr:cNvPr id="56" name="Button_Text" hidden="1">
          <a:extLst>
            <a:ext uri="{FF2B5EF4-FFF2-40B4-BE49-F238E27FC236}">
              <a16:creationId xmlns:a16="http://schemas.microsoft.com/office/drawing/2014/main" id="{C3236CCB-511F-4BFA-AD1B-8BA61FC1C246}"/>
            </a:ext>
          </a:extLst>
        </xdr:cNvPr>
        <xdr:cNvSpPr txBox="1"/>
      </xdr:nvSpPr>
      <xdr:spPr>
        <a:xfrm>
          <a:off x="4695825" y="1724026"/>
          <a:ext cx="6286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latin typeface="Times New Roman" panose="02020603050405020304" pitchFamily="18" charset="0"/>
              <a:cs typeface="Times New Roman" panose="02020603050405020304" pitchFamily="18" charset="0"/>
            </a:rPr>
            <a:t>On</a:t>
          </a:r>
        </a:p>
      </xdr:txBody>
    </xdr:sp>
    <xdr:clientData/>
  </xdr:twoCellAnchor>
  <xdr:twoCellAnchor>
    <xdr:from>
      <xdr:col>7</xdr:col>
      <xdr:colOff>1</xdr:colOff>
      <xdr:row>9</xdr:row>
      <xdr:rowOff>115661</xdr:rowOff>
    </xdr:from>
    <xdr:to>
      <xdr:col>7</xdr:col>
      <xdr:colOff>323851</xdr:colOff>
      <xdr:row>10</xdr:row>
      <xdr:rowOff>79194</xdr:rowOff>
    </xdr:to>
    <xdr:sp macro="[0]!Sheet1.Toggle_Info" textlink="">
      <xdr:nvSpPr>
        <xdr:cNvPr id="115" name="Toggle_Button_Back" hidden="1">
          <a:extLst>
            <a:ext uri="{FF2B5EF4-FFF2-40B4-BE49-F238E27FC236}">
              <a16:creationId xmlns:a16="http://schemas.microsoft.com/office/drawing/2014/main" id="{4E3A03FA-D9AA-4ECE-B278-1205A0B2F04A}"/>
            </a:ext>
          </a:extLst>
        </xdr:cNvPr>
        <xdr:cNvSpPr/>
      </xdr:nvSpPr>
      <xdr:spPr>
        <a:xfrm>
          <a:off x="4267201" y="1744436"/>
          <a:ext cx="323850" cy="144508"/>
        </a:xfrm>
        <a:prstGeom prst="roundRect">
          <a:avLst>
            <a:gd name="adj" fmla="val 50000"/>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9</xdr:row>
      <xdr:rowOff>95250</xdr:rowOff>
    </xdr:from>
    <xdr:to>
      <xdr:col>7</xdr:col>
      <xdr:colOff>352424</xdr:colOff>
      <xdr:row>10</xdr:row>
      <xdr:rowOff>104774</xdr:rowOff>
    </xdr:to>
    <xdr:sp macro="[0]!Sheet1.Toggle_Info" textlink="">
      <xdr:nvSpPr>
        <xdr:cNvPr id="114" name="Toggle_Button_Front" hidden="1">
          <a:extLst>
            <a:ext uri="{FF2B5EF4-FFF2-40B4-BE49-F238E27FC236}">
              <a16:creationId xmlns:a16="http://schemas.microsoft.com/office/drawing/2014/main" id="{590C63FD-D931-435D-8157-1D99A7B400B7}"/>
            </a:ext>
          </a:extLst>
        </xdr:cNvPr>
        <xdr:cNvSpPr/>
      </xdr:nvSpPr>
      <xdr:spPr>
        <a:xfrm>
          <a:off x="4438650" y="1741170"/>
          <a:ext cx="180974" cy="192404"/>
        </a:xfrm>
        <a:prstGeom prst="ellipse">
          <a:avLst/>
        </a:prstGeom>
        <a:solidFill>
          <a:srgbClr val="0066CC"/>
        </a:solidFill>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56%</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73.462052199073"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73.462052314811" createdVersion="6" refreshedVersion="6" minRefreshableVersion="3" recordCount="25" xr:uid="{2D507522-3227-410F-9756-2F36959540A3}">
  <cacheSource type="worksheet">
    <worksheetSource name="License_Table"/>
  </cacheSource>
  <cacheFields count="7">
    <cacheField name="LicenseId" numFmtId="0">
      <sharedItems containsSemiMixedTypes="0" containsString="0" containsNumber="1" containsInteger="1" minValue="1" maxValue="25"/>
    </cacheField>
    <cacheField name="AssetName" numFmtId="0">
      <sharedItems containsBlank="1" count="12">
        <s v="JusticeLeague"/>
        <s v="Avengers"/>
        <s v="SpeedForce"/>
        <s v="WorldDomination"/>
        <s v="DontUseMe"/>
        <s v="License2Kill"/>
        <s v="RandomLicense"/>
        <s v="Robot"/>
        <s v="Robot2"/>
        <s v="NewLicense"/>
        <m u="1"/>
        <s v="sadsdas" u="1"/>
      </sharedItems>
    </cacheField>
    <cacheField name="Key" numFmtId="0">
      <sharedItems/>
    </cacheField>
    <cacheField name="StartDate" numFmtId="14">
      <sharedItems containsSemiMixedTypes="0" containsNonDate="0" containsDate="1" containsString="0" minDate="2020-01-01T00:00:00" maxDate="2020-12-03T00:00:00"/>
    </cacheField>
    <cacheField name="Length" numFmtId="2">
      <sharedItems containsSemiMixedTypes="0" containsString="0" containsNumber="1" containsInteger="1" minValue="1" maxValue="3685"/>
    </cacheField>
    <cacheField name="EndDate" numFmtId="14">
      <sharedItems containsSemiMixedTypes="0" containsNonDate="0" containsDate="1" containsString="0" minDate="2020-01-02T00:00:00" maxDate="2030-02-03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73.462052430557" createdVersion="6" refreshedVersion="6" minRefreshableVersion="3" recordCount="15" xr:uid="{00E02E28-DD74-4870-ABCC-1C7522ED1936}">
  <cacheSource type="worksheet">
    <worksheetSource name="User_Table"/>
  </cacheSource>
  <cacheFields count="9">
    <cacheField name="UserId" numFmtId="0">
      <sharedItems containsSemiMixedTypes="0" containsString="0" containsNumber="1" containsInteger="1" minValue="1" maxValue="15"/>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4">
        <s v="COL"/>
        <s v="CPT"/>
        <s v="2LT"/>
        <s v="N/A"/>
        <s v="LTG"/>
        <s v="LTC"/>
        <s v="SPC"/>
        <s v="MAJ"/>
        <s v="CSM"/>
        <s v="1LT"/>
        <s v="PVT"/>
        <m u="1"/>
        <s v="SSG" u="1"/>
        <s v="SFC"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s v="AAABBB"/>
    <d v="2020-01-01T00:00:00"/>
    <n v="3685"/>
    <d v="2030-02-02T00:00:00"/>
    <x v="1"/>
  </r>
  <r>
    <n v="25"/>
    <x v="6"/>
    <s v="AAAAAA"/>
    <d v="2020-01-01T00:00:00"/>
    <n v="1"/>
    <d v="2020-01-02T00:00:0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s v="Bruce"/>
    <s v="N/A"/>
    <s v="Wayne"/>
    <s v="N/A"/>
    <s v="brucewayne.mil@mail.mil"/>
    <x v="0"/>
    <x v="0"/>
    <n v="1"/>
  </r>
  <r>
    <n v="2"/>
    <s v="Natalia"/>
    <s v="Allanovna"/>
    <s v="Romanova"/>
    <s v="N/A"/>
    <s v="nataliaromanova.mil@mail.mil"/>
    <x v="1"/>
    <x v="1"/>
    <n v="1"/>
  </r>
  <r>
    <n v="3"/>
    <s v="Steve"/>
    <s v="G."/>
    <s v="Rogers"/>
    <s v="N/A"/>
    <s v="steverogers.mil@mail.mil"/>
    <x v="1"/>
    <x v="0"/>
    <n v="1"/>
  </r>
  <r>
    <n v="4"/>
    <s v="Brodie"/>
    <s v="James"/>
    <s v="Burke"/>
    <s v="III"/>
    <s v="brodie.j.burke.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Richard"/>
    <s v="John"/>
    <s v="Grayson"/>
    <s v="N/A"/>
    <s v="richard.j.grayson.mil@mail.mil"/>
    <x v="2"/>
    <x v="0"/>
    <n v="1"/>
  </r>
  <r>
    <n v="14"/>
    <s v="Jessie"/>
    <s v="Blake"/>
    <s v="Jamison"/>
    <s v="N/A"/>
    <s v="jessie.b.jamison.mil@mail.ml"/>
    <x v="9"/>
    <x v="0"/>
    <n v="0"/>
  </r>
  <r>
    <n v="15"/>
    <s v="Joe"/>
    <s v="A"/>
    <s v="Joe"/>
    <s v="Jr"/>
    <s v="joe.a.joe@mail.mil"/>
    <x v="10"/>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1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9">
    <pivotField showAll="0"/>
    <pivotField showAll="0"/>
    <pivotField showAll="0"/>
    <pivotField showAll="0"/>
    <pivotField showAll="0"/>
    <pivotField showAll="0"/>
    <pivotField showAll="0">
      <items count="15">
        <item x="9"/>
        <item x="2"/>
        <item x="0"/>
        <item x="1"/>
        <item x="8"/>
        <item x="5"/>
        <item x="4"/>
        <item x="7"/>
        <item x="3"/>
        <item x="10"/>
        <item m="1" x="13"/>
        <item x="6"/>
        <item m="1" x="12"/>
        <item m="1" x="11"/>
        <item t="default"/>
      </items>
    </pivotField>
    <pivotField axis="axisRow" showAll="0">
      <items count="6">
        <item x="0"/>
        <item x="3"/>
        <item x="2"/>
        <item x="1"/>
        <item m="1" x="4"/>
        <item t="default"/>
      </items>
    </pivotField>
    <pivotField dataField="1" showAll="0"/>
  </pivotFields>
  <rowFields count="1">
    <field x="7"/>
  </rowFields>
  <rowItems count="5">
    <i>
      <x/>
    </i>
    <i>
      <x v="1"/>
    </i>
    <i>
      <x v="2"/>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1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1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12" firstHeaderRow="0" firstDataRow="1" firstDataCol="1"/>
  <pivotFields count="7">
    <pivotField showAll="0"/>
    <pivotField axis="axisRow" showAll="0">
      <items count="13">
        <item x="1"/>
        <item x="4"/>
        <item x="0"/>
        <item x="5"/>
        <item x="6"/>
        <item x="2"/>
        <item x="3"/>
        <item x="7"/>
        <item x="8"/>
        <item m="1" x="10"/>
        <item m="1" x="11"/>
        <item x="9"/>
        <item t="default"/>
      </items>
    </pivotField>
    <pivotField showAll="0"/>
    <pivotField numFmtId="14" showAll="0"/>
    <pivotField numFmtId="2" showAll="0"/>
    <pivotField numFmtId="14" showAll="0"/>
    <pivotField dataField="1" showAll="0"/>
  </pivotFields>
  <rowFields count="1">
    <field x="1"/>
  </rowFields>
  <rowItems count="11">
    <i>
      <x/>
    </i>
    <i>
      <x v="1"/>
    </i>
    <i>
      <x v="2"/>
    </i>
    <i>
      <x v="3"/>
    </i>
    <i>
      <x v="4"/>
    </i>
    <i>
      <x v="5"/>
    </i>
    <i>
      <x v="6"/>
    </i>
    <i>
      <x v="7"/>
    </i>
    <i>
      <x v="8"/>
    </i>
    <i>
      <x v="11"/>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1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13" firstHeaderRow="1" firstDataRow="1" firstDataCol="1"/>
  <pivotFields count="9">
    <pivotField showAll="0"/>
    <pivotField showAll="0"/>
    <pivotField showAll="0"/>
    <pivotField showAll="0"/>
    <pivotField showAll="0"/>
    <pivotField showAll="0"/>
    <pivotField axis="axisRow" showAll="0">
      <items count="15">
        <item x="2"/>
        <item x="0"/>
        <item x="1"/>
        <item x="8"/>
        <item x="5"/>
        <item x="4"/>
        <item x="7"/>
        <item x="3"/>
        <item x="6"/>
        <item x="9"/>
        <item m="1" x="11"/>
        <item m="1" x="13"/>
        <item m="1" x="12"/>
        <item x="10"/>
        <item t="default"/>
      </items>
    </pivotField>
    <pivotField showAll="0">
      <items count="6">
        <item x="0"/>
        <item x="3"/>
        <item x="2"/>
        <item x="1"/>
        <item m="1" x="4"/>
        <item t="default"/>
      </items>
    </pivotField>
    <pivotField dataField="1" showAll="0"/>
  </pivotFields>
  <rowFields count="1">
    <field x="6"/>
  </rowFields>
  <rowItems count="12">
    <i>
      <x/>
    </i>
    <i>
      <x v="1"/>
    </i>
    <i>
      <x v="2"/>
    </i>
    <i>
      <x v="3"/>
    </i>
    <i>
      <x v="4"/>
    </i>
    <i>
      <x v="5"/>
    </i>
    <i>
      <x v="6"/>
    </i>
    <i>
      <x v="7"/>
    </i>
    <i>
      <x v="8"/>
    </i>
    <i>
      <x v="9"/>
    </i>
    <i>
      <x v="13"/>
    </i>
    <i t="grand">
      <x/>
    </i>
  </rowItems>
  <colItems count="1">
    <i/>
  </colItems>
  <dataFields count="1">
    <dataField name="Sum of HasLicense" fld="8" baseField="0" baseItem="0"/>
  </dataFields>
  <chartFormats count="12">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 chart="2" format="29">
      <pivotArea type="data" outline="0" fieldPosition="0">
        <references count="2">
          <reference field="4294967294" count="1" selected="0">
            <x v="0"/>
          </reference>
          <reference field="6"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1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1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1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1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4">
        <i x="9" s="1"/>
        <i x="2" s="1"/>
        <i x="0" s="1"/>
        <i x="1" s="1"/>
        <i x="8" s="1"/>
        <i x="5" s="1"/>
        <i x="4" s="1"/>
        <i x="7" s="1"/>
        <i x="3" s="1"/>
        <i x="10" s="1"/>
        <i x="6" s="1"/>
        <i x="13" s="1" nd="1"/>
        <i x="12"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s="1"/>
        <i x="2" s="1"/>
        <i x="1"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2">
        <i x="1" s="1"/>
        <i x="4" s="1"/>
        <i x="0" s="1"/>
        <i x="5" s="1"/>
        <i x="9" s="1"/>
        <i x="6" s="1"/>
        <i x="7" s="1"/>
        <i x="8" s="1"/>
        <i x="2" s="1"/>
        <i x="3" s="1"/>
        <i x="11"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6" totalsRowShown="0" headerRowDxfId="13" headerRowBorderDxfId="12" tableBorderDxfId="11">
  <autoFilter ref="A1:G26"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10"/>
    <tableColumn id="7" xr3:uid="{85068B4C-306A-42F7-B385-57733E3E461C}" name="Length" dataDxfId="9">
      <calculatedColumnFormula>License_Table[[#This Row],[EndDate]]-License_Table[[#This Row],[StartDate]]</calculatedColumnFormula>
    </tableColumn>
    <tableColumn id="5" xr3:uid="{6645845C-055B-48FD-922C-83C595CBF911}" name="EndDate" dataDxfId="8"/>
    <tableColumn id="6" xr3:uid="{F1B999B7-FBD2-4DD1-9E13-3F00B5806B1F}" name="Availab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6" totalsRowShown="0" headerRowDxfId="7" headerRowBorderDxfId="6" tableBorderDxfId="5">
  <autoFilter ref="A1:I16"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F12" totalsRowShown="0" headerRowDxfId="4" headerRowBorderDxfId="3" tableBorderDxfId="2">
  <autoFilter ref="A1:F12" xr:uid="{885A728E-96DB-4888-B5A1-70AF75F7DAAB}"/>
  <tableColumns count="6">
    <tableColumn id="1" xr3:uid="{D03BE993-389F-4CC2-8F21-E321837C4E8E}" name="UserId"/>
    <tableColumn id="6" xr3:uid="{D9EEA88B-3038-4670-847D-281DFAE6519D}" name="Username"/>
    <tableColumn id="2" xr3:uid="{3468342B-06E9-4B5E-B168-B98253172021}" name="LicenseId"/>
    <tableColumn id="7" xr3:uid="{59AE1889-108E-4D08-AC18-1D21C8943E8D}" name="LicenseName"/>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richard.j.grays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6" Type="http://schemas.openxmlformats.org/officeDocument/2006/relationships/table" Target="../tables/table2.xml"/><Relationship Id="rId1" Type="http://schemas.openxmlformats.org/officeDocument/2006/relationships/hyperlink" Target="mailto:brodie.j.burke.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printerSettings" Target="../printerSettings/printerSettings2.bin"/><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hyperlink" Target="mailto:jessie.b.jamison.mil@mail.ml"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opLeftCell="A3" zoomScaleNormal="100" workbookViewId="0">
      <selection activeCell="G39" sqref="G39"/>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6"/>
  <sheetViews>
    <sheetView workbookViewId="0">
      <selection activeCell="A26" sqref="A26"/>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144</v>
      </c>
      <c r="F1" s="3" t="s">
        <v>11</v>
      </c>
      <c r="G1" s="4" t="s">
        <v>71</v>
      </c>
      <c r="I1" s="14" t="s">
        <v>136</v>
      </c>
      <c r="J1" s="14"/>
      <c r="K1" s="14"/>
      <c r="L1" s="14"/>
      <c r="M1" s="14"/>
    </row>
    <row r="2" spans="1:19" x14ac:dyDescent="0.3">
      <c r="A2">
        <v>1</v>
      </c>
      <c r="B2" t="s">
        <v>54</v>
      </c>
      <c r="C2" t="s">
        <v>55</v>
      </c>
      <c r="D2" s="1">
        <v>43831</v>
      </c>
      <c r="E2" s="11">
        <f>License_Table[[#This Row],[EndDate]]-License_Table[[#This Row],[StartDate]]</f>
        <v>731</v>
      </c>
      <c r="F2" s="1">
        <v>44562</v>
      </c>
      <c r="G2">
        <v>0</v>
      </c>
      <c r="I2" s="14"/>
      <c r="J2" s="14"/>
      <c r="K2" s="14"/>
      <c r="L2" s="14"/>
      <c r="M2" s="14"/>
      <c r="S2" s="11"/>
    </row>
    <row r="3" spans="1:19" x14ac:dyDescent="0.3">
      <c r="A3">
        <v>2</v>
      </c>
      <c r="B3" t="s">
        <v>54</v>
      </c>
      <c r="C3" t="s">
        <v>56</v>
      </c>
      <c r="D3" s="1">
        <v>43862</v>
      </c>
      <c r="E3" s="11">
        <f>License_Table[[#This Row],[EndDate]]-License_Table[[#This Row],[StartDate]]</f>
        <v>1504</v>
      </c>
      <c r="F3" s="1">
        <v>45366</v>
      </c>
      <c r="G3">
        <v>0</v>
      </c>
      <c r="I3" s="14" t="s">
        <v>148</v>
      </c>
      <c r="J3" s="14"/>
      <c r="K3" s="14"/>
      <c r="L3" s="14"/>
      <c r="M3" s="14"/>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89</v>
      </c>
      <c r="C14" t="s">
        <v>146</v>
      </c>
      <c r="D14" s="1">
        <v>43850</v>
      </c>
      <c r="E14" s="11">
        <f>License_Table[[#This Row],[EndDate]]-License_Table[[#This Row],[StartDate]]</f>
        <v>743</v>
      </c>
      <c r="F14" s="1">
        <v>44593</v>
      </c>
      <c r="G14">
        <v>1</v>
      </c>
    </row>
    <row r="15" spans="1:19" x14ac:dyDescent="0.3">
      <c r="A15">
        <v>14</v>
      </c>
      <c r="B15" t="s">
        <v>89</v>
      </c>
      <c r="C15" t="s">
        <v>147</v>
      </c>
      <c r="D15" s="1">
        <v>43855</v>
      </c>
      <c r="E15" s="11">
        <f>License_Table[[#This Row],[EndDate]]-License_Table[[#This Row],[StartDate]]</f>
        <v>738</v>
      </c>
      <c r="F15" s="1">
        <v>44593</v>
      </c>
      <c r="G15">
        <v>0</v>
      </c>
    </row>
    <row r="16" spans="1:19" x14ac:dyDescent="0.3">
      <c r="A16">
        <v>15</v>
      </c>
      <c r="B16" t="s">
        <v>134</v>
      </c>
      <c r="C16" t="s">
        <v>145</v>
      </c>
      <c r="D16" s="1">
        <v>44015</v>
      </c>
      <c r="E16" s="11">
        <f>License_Table[[#This Row],[EndDate]]-License_Table[[#This Row],[StartDate]]</f>
        <v>731</v>
      </c>
      <c r="F16" s="1">
        <v>44746</v>
      </c>
      <c r="G16">
        <v>1</v>
      </c>
    </row>
    <row r="17" spans="1:7" x14ac:dyDescent="0.3">
      <c r="A17">
        <v>16</v>
      </c>
      <c r="B17" t="s">
        <v>58</v>
      </c>
      <c r="C17" t="s">
        <v>137</v>
      </c>
      <c r="D17" s="1">
        <v>43984</v>
      </c>
      <c r="E17" s="11">
        <f>License_Table[[#This Row],[EndDate]]-License_Table[[#This Row],[StartDate]]</f>
        <v>488</v>
      </c>
      <c r="F17" s="1">
        <v>44472</v>
      </c>
      <c r="G17">
        <v>1</v>
      </c>
    </row>
    <row r="18" spans="1:7" x14ac:dyDescent="0.3">
      <c r="A18">
        <v>17</v>
      </c>
      <c r="B18" t="s">
        <v>58</v>
      </c>
      <c r="C18" t="s">
        <v>138</v>
      </c>
      <c r="D18" s="1">
        <v>44076</v>
      </c>
      <c r="E18" s="11">
        <f>License_Table[[#This Row],[EndDate]]-License_Table[[#This Row],[StartDate]]</f>
        <v>224</v>
      </c>
      <c r="F18" s="1">
        <v>44300</v>
      </c>
      <c r="G18">
        <v>1</v>
      </c>
    </row>
    <row r="19" spans="1:7" x14ac:dyDescent="0.3">
      <c r="A19">
        <v>18</v>
      </c>
      <c r="B19" t="s">
        <v>58</v>
      </c>
      <c r="C19" t="s">
        <v>139</v>
      </c>
      <c r="D19" s="1">
        <v>43842</v>
      </c>
      <c r="E19" s="11">
        <f>License_Table[[#This Row],[EndDate]]-License_Table[[#This Row],[StartDate]]</f>
        <v>528</v>
      </c>
      <c r="F19" s="1">
        <v>44370</v>
      </c>
      <c r="G19">
        <v>1</v>
      </c>
    </row>
    <row r="20" spans="1:7" x14ac:dyDescent="0.3">
      <c r="A20">
        <v>19</v>
      </c>
      <c r="B20" t="s">
        <v>54</v>
      </c>
      <c r="C20" t="s">
        <v>140</v>
      </c>
      <c r="D20" s="1">
        <v>43891</v>
      </c>
      <c r="E20" s="11">
        <f>License_Table[[#This Row],[EndDate]]-License_Table[[#This Row],[StartDate]]</f>
        <v>1549</v>
      </c>
      <c r="F20" s="1">
        <v>45440</v>
      </c>
      <c r="G20">
        <v>1</v>
      </c>
    </row>
    <row r="21" spans="1:7" x14ac:dyDescent="0.3">
      <c r="A21">
        <v>20</v>
      </c>
      <c r="B21" t="s">
        <v>54</v>
      </c>
      <c r="C21" t="s">
        <v>141</v>
      </c>
      <c r="D21" s="1">
        <v>44167</v>
      </c>
      <c r="E21" s="11">
        <f>License_Table[[#This Row],[EndDate]]-License_Table[[#This Row],[StartDate]]</f>
        <v>1075</v>
      </c>
      <c r="F21" s="1">
        <v>45242</v>
      </c>
      <c r="G21">
        <v>1</v>
      </c>
    </row>
    <row r="22" spans="1:7" x14ac:dyDescent="0.3">
      <c r="A22">
        <v>21</v>
      </c>
      <c r="B22" t="s">
        <v>149</v>
      </c>
      <c r="C22" t="s">
        <v>150</v>
      </c>
      <c r="D22" s="1">
        <v>44136</v>
      </c>
      <c r="E22" s="11">
        <v>49</v>
      </c>
      <c r="F22" s="1">
        <v>44185</v>
      </c>
      <c r="G22">
        <v>1</v>
      </c>
    </row>
    <row r="23" spans="1:7" x14ac:dyDescent="0.3">
      <c r="A23">
        <v>22</v>
      </c>
      <c r="B23" t="s">
        <v>151</v>
      </c>
      <c r="C23" t="s">
        <v>152</v>
      </c>
      <c r="D23" s="1">
        <v>44150</v>
      </c>
      <c r="E23" s="11">
        <v>61</v>
      </c>
      <c r="F23" s="1">
        <v>44211</v>
      </c>
      <c r="G23">
        <v>1</v>
      </c>
    </row>
    <row r="24" spans="1:7" x14ac:dyDescent="0.3">
      <c r="A24">
        <v>23</v>
      </c>
      <c r="B24" t="s">
        <v>151</v>
      </c>
      <c r="C24" t="s">
        <v>154</v>
      </c>
      <c r="D24" s="1">
        <v>44119</v>
      </c>
      <c r="E24" s="11">
        <f>License_Table[[#This Row],[EndDate]]-License_Table[[#This Row],[StartDate]]</f>
        <v>2993</v>
      </c>
      <c r="F24" s="1">
        <v>47112</v>
      </c>
      <c r="G24">
        <v>1</v>
      </c>
    </row>
    <row r="25" spans="1:7" x14ac:dyDescent="0.3">
      <c r="A25">
        <v>24</v>
      </c>
      <c r="B25" t="s">
        <v>159</v>
      </c>
      <c r="C25" t="s">
        <v>160</v>
      </c>
      <c r="D25" s="1">
        <v>43831</v>
      </c>
      <c r="E25" s="11">
        <v>3685</v>
      </c>
      <c r="F25" s="1">
        <v>47516</v>
      </c>
      <c r="G25">
        <v>1</v>
      </c>
    </row>
    <row r="26" spans="1:7" x14ac:dyDescent="0.3">
      <c r="A26">
        <v>25</v>
      </c>
      <c r="B26" t="s">
        <v>134</v>
      </c>
      <c r="C26" t="s">
        <v>171</v>
      </c>
      <c r="D26" s="1">
        <v>43831</v>
      </c>
      <c r="E26" s="11">
        <v>1</v>
      </c>
      <c r="F26" s="1">
        <v>43832</v>
      </c>
      <c r="G26">
        <v>1</v>
      </c>
    </row>
  </sheetData>
  <mergeCells count="2">
    <mergeCell ref="I1:M2"/>
    <mergeCell ref="I3:M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6"/>
  <sheetViews>
    <sheetView workbookViewId="0">
      <selection activeCell="C21" sqref="C21"/>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174</v>
      </c>
      <c r="C5" t="s">
        <v>91</v>
      </c>
      <c r="D5" t="s">
        <v>175</v>
      </c>
      <c r="E5" t="s">
        <v>92</v>
      </c>
      <c r="F5" s="7" t="s">
        <v>176</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172</v>
      </c>
      <c r="C14" t="s">
        <v>173</v>
      </c>
      <c r="D14" t="s">
        <v>88</v>
      </c>
      <c r="E14" t="s">
        <v>14</v>
      </c>
      <c r="F14" s="7" t="s">
        <v>177</v>
      </c>
      <c r="G14" t="s">
        <v>50</v>
      </c>
      <c r="H14" t="s">
        <v>16</v>
      </c>
      <c r="I14">
        <v>1</v>
      </c>
    </row>
    <row r="15" spans="1:9" x14ac:dyDescent="0.3">
      <c r="A15">
        <v>14</v>
      </c>
      <c r="B15" t="s">
        <v>178</v>
      </c>
      <c r="C15" t="s">
        <v>179</v>
      </c>
      <c r="D15" t="s">
        <v>180</v>
      </c>
      <c r="E15" t="s">
        <v>14</v>
      </c>
      <c r="F15" s="7" t="s">
        <v>181</v>
      </c>
      <c r="G15" t="s">
        <v>153</v>
      </c>
      <c r="H15" t="s">
        <v>16</v>
      </c>
      <c r="I15">
        <v>0</v>
      </c>
    </row>
    <row r="16" spans="1:9" x14ac:dyDescent="0.3">
      <c r="A16">
        <v>15</v>
      </c>
      <c r="B16" t="s">
        <v>155</v>
      </c>
      <c r="C16" t="s">
        <v>156</v>
      </c>
      <c r="D16" t="s">
        <v>155</v>
      </c>
      <c r="E16" t="s">
        <v>41</v>
      </c>
      <c r="F16" t="s">
        <v>157</v>
      </c>
      <c r="G16" t="s">
        <v>158</v>
      </c>
      <c r="H16" t="s">
        <v>16</v>
      </c>
      <c r="I16">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60FCE6B7-C7E1-46E9-BBBA-FDE4E405D976}"/>
    <hyperlink ref="F15" r:id="rId14" xr:uid="{76D5FDE3-73F5-4715-9C5F-5E610E7092EC}"/>
  </hyperlinks>
  <pageMargins left="0.7" right="0.7" top="0.75" bottom="0.75" header="0.3" footer="0.3"/>
  <pageSetup orientation="portrait" r:id="rId15"/>
  <tableParts count="1">
    <tablePart r:id="rId1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F12"/>
  <sheetViews>
    <sheetView workbookViewId="0">
      <selection activeCell="B13" sqref="B13"/>
    </sheetView>
  </sheetViews>
  <sheetFormatPr defaultRowHeight="14.4" x14ac:dyDescent="0.3"/>
  <cols>
    <col min="1" max="6" width="15.77734375" customWidth="1"/>
  </cols>
  <sheetData>
    <row r="1" spans="1:6" x14ac:dyDescent="0.3">
      <c r="A1" s="2" t="s">
        <v>0</v>
      </c>
      <c r="B1" s="3" t="s">
        <v>161</v>
      </c>
      <c r="C1" s="4" t="s">
        <v>7</v>
      </c>
      <c r="D1" s="3" t="s">
        <v>162</v>
      </c>
      <c r="E1" s="3" t="s">
        <v>10</v>
      </c>
      <c r="F1" s="3" t="s">
        <v>11</v>
      </c>
    </row>
    <row r="2" spans="1:6" x14ac:dyDescent="0.3">
      <c r="A2">
        <v>1</v>
      </c>
      <c r="B2" t="s">
        <v>163</v>
      </c>
      <c r="C2">
        <v>1</v>
      </c>
      <c r="D2" t="s">
        <v>54</v>
      </c>
      <c r="E2" s="1">
        <v>43863</v>
      </c>
      <c r="F2" s="1">
        <v>43892</v>
      </c>
    </row>
    <row r="3" spans="1:6" x14ac:dyDescent="0.3">
      <c r="A3">
        <v>6</v>
      </c>
      <c r="B3" t="s">
        <v>164</v>
      </c>
      <c r="C3">
        <v>2</v>
      </c>
      <c r="D3" t="s">
        <v>54</v>
      </c>
      <c r="E3" s="1">
        <v>44089</v>
      </c>
      <c r="F3" s="1">
        <v>44119</v>
      </c>
    </row>
    <row r="4" spans="1:6" x14ac:dyDescent="0.3">
      <c r="A4">
        <v>10</v>
      </c>
      <c r="B4" t="s">
        <v>165</v>
      </c>
      <c r="C4">
        <v>3</v>
      </c>
      <c r="D4" s="12" t="s">
        <v>54</v>
      </c>
      <c r="E4" s="1">
        <v>44089</v>
      </c>
      <c r="F4" s="1">
        <v>44119</v>
      </c>
    </row>
    <row r="5" spans="1:6" x14ac:dyDescent="0.3">
      <c r="A5">
        <v>2</v>
      </c>
      <c r="B5" t="s">
        <v>166</v>
      </c>
      <c r="C5">
        <v>4</v>
      </c>
      <c r="D5" s="13" t="s">
        <v>58</v>
      </c>
      <c r="E5" s="1">
        <v>44089</v>
      </c>
      <c r="F5" s="1">
        <v>44119</v>
      </c>
    </row>
    <row r="6" spans="1:6" x14ac:dyDescent="0.3">
      <c r="A6">
        <v>3</v>
      </c>
      <c r="B6" t="s">
        <v>167</v>
      </c>
      <c r="C6">
        <v>5</v>
      </c>
      <c r="D6" s="12" t="s">
        <v>58</v>
      </c>
      <c r="E6" s="1">
        <v>44089</v>
      </c>
      <c r="F6" s="1">
        <v>44119</v>
      </c>
    </row>
    <row r="7" spans="1:6" x14ac:dyDescent="0.3">
      <c r="A7">
        <v>9</v>
      </c>
      <c r="B7" t="s">
        <v>168</v>
      </c>
      <c r="C7">
        <v>6</v>
      </c>
      <c r="D7" s="13" t="s">
        <v>58</v>
      </c>
      <c r="E7" s="1">
        <v>44089</v>
      </c>
      <c r="F7" s="1">
        <v>44119</v>
      </c>
    </row>
    <row r="8" spans="1:6" x14ac:dyDescent="0.3">
      <c r="A8">
        <v>10</v>
      </c>
      <c r="B8" t="s">
        <v>165</v>
      </c>
      <c r="C8">
        <v>7</v>
      </c>
      <c r="D8" s="12" t="s">
        <v>62</v>
      </c>
      <c r="E8" s="1">
        <v>44150</v>
      </c>
      <c r="F8" s="1">
        <v>44180</v>
      </c>
    </row>
    <row r="9" spans="1:6" x14ac:dyDescent="0.3">
      <c r="A9">
        <v>11</v>
      </c>
      <c r="B9" t="s">
        <v>169</v>
      </c>
      <c r="C9">
        <v>8</v>
      </c>
      <c r="D9" s="13" t="s">
        <v>62</v>
      </c>
      <c r="E9" s="1">
        <v>44150</v>
      </c>
      <c r="F9" s="1">
        <v>44180</v>
      </c>
    </row>
    <row r="10" spans="1:6" x14ac:dyDescent="0.3">
      <c r="A10">
        <v>9</v>
      </c>
      <c r="B10" t="s">
        <v>168</v>
      </c>
      <c r="C10">
        <v>9</v>
      </c>
      <c r="D10" s="12" t="s">
        <v>65</v>
      </c>
      <c r="E10" s="1">
        <v>44089</v>
      </c>
      <c r="F10" s="1">
        <v>44119</v>
      </c>
    </row>
    <row r="11" spans="1:6" x14ac:dyDescent="0.3">
      <c r="A11">
        <v>12</v>
      </c>
      <c r="B11" t="s">
        <v>170</v>
      </c>
      <c r="C11">
        <v>10</v>
      </c>
      <c r="D11" s="13" t="s">
        <v>65</v>
      </c>
      <c r="E11" s="1">
        <v>44089</v>
      </c>
      <c r="F11" s="1">
        <v>44119</v>
      </c>
    </row>
    <row r="12" spans="1:6" x14ac:dyDescent="0.3">
      <c r="A12">
        <v>13</v>
      </c>
      <c r="B12" t="s">
        <v>182</v>
      </c>
      <c r="C12">
        <v>14</v>
      </c>
      <c r="D12" t="s">
        <v>89</v>
      </c>
      <c r="E12" s="1">
        <v>44089</v>
      </c>
      <c r="F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3"/>
  <sheetViews>
    <sheetView tabSelected="1" zoomScale="70" zoomScaleNormal="70" workbookViewId="0">
      <selection activeCell="H31" sqref="H31"/>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98</v>
      </c>
      <c r="B1" t="s">
        <v>90</v>
      </c>
      <c r="D1" s="5" t="s">
        <v>98</v>
      </c>
      <c r="E1" t="s">
        <v>90</v>
      </c>
      <c r="G1" s="5" t="s">
        <v>98</v>
      </c>
      <c r="H1" t="s">
        <v>142</v>
      </c>
      <c r="I1" t="s">
        <v>143</v>
      </c>
      <c r="K1" s="5" t="s">
        <v>98</v>
      </c>
      <c r="L1" t="s">
        <v>135</v>
      </c>
    </row>
    <row r="2" spans="1:13" x14ac:dyDescent="0.3">
      <c r="A2" s="8" t="s">
        <v>16</v>
      </c>
      <c r="B2" s="6">
        <v>7</v>
      </c>
      <c r="D2" s="8" t="s">
        <v>50</v>
      </c>
      <c r="E2" s="6">
        <v>3</v>
      </c>
      <c r="G2" s="8" t="s">
        <v>58</v>
      </c>
      <c r="H2" s="6">
        <v>3</v>
      </c>
      <c r="I2" s="6">
        <v>6</v>
      </c>
      <c r="K2" s="8">
        <v>1</v>
      </c>
      <c r="L2" s="6">
        <v>14</v>
      </c>
      <c r="M2" s="10">
        <f>GETPIVOTDATA("Available",$K$1,"Available",1)/GETPIVOTDATA("Available",$K$1)</f>
        <v>0.56000000000000005</v>
      </c>
    </row>
    <row r="3" spans="1:13" x14ac:dyDescent="0.3">
      <c r="A3" s="8" t="s">
        <v>22</v>
      </c>
      <c r="B3" s="6">
        <v>1</v>
      </c>
      <c r="D3" s="8" t="s">
        <v>20</v>
      </c>
      <c r="E3" s="6">
        <v>1</v>
      </c>
      <c r="G3" s="8" t="s">
        <v>72</v>
      </c>
      <c r="H3" s="6">
        <v>2</v>
      </c>
      <c r="I3" s="6">
        <v>2</v>
      </c>
      <c r="K3" s="8">
        <v>0</v>
      </c>
      <c r="L3" s="6">
        <v>11</v>
      </c>
    </row>
    <row r="4" spans="1:13" x14ac:dyDescent="0.3">
      <c r="A4" s="8" t="s">
        <v>23</v>
      </c>
      <c r="B4" s="6">
        <v>2</v>
      </c>
      <c r="D4" s="8" t="s">
        <v>15</v>
      </c>
      <c r="E4" s="6">
        <v>2</v>
      </c>
      <c r="G4" s="8" t="s">
        <v>54</v>
      </c>
      <c r="H4" s="6">
        <v>2</v>
      </c>
      <c r="I4" s="6">
        <v>5</v>
      </c>
      <c r="K4" s="8" t="s">
        <v>97</v>
      </c>
      <c r="L4" s="6">
        <v>25</v>
      </c>
    </row>
    <row r="5" spans="1:13" x14ac:dyDescent="0.3">
      <c r="A5" s="8" t="s">
        <v>35</v>
      </c>
      <c r="B5" s="6">
        <v>1</v>
      </c>
      <c r="D5" s="8" t="s">
        <v>46</v>
      </c>
      <c r="E5" s="6">
        <v>1</v>
      </c>
      <c r="G5" s="8" t="s">
        <v>89</v>
      </c>
      <c r="H5" s="6">
        <v>1</v>
      </c>
      <c r="I5" s="6">
        <v>2</v>
      </c>
    </row>
    <row r="6" spans="1:13" x14ac:dyDescent="0.3">
      <c r="A6" s="8" t="s">
        <v>97</v>
      </c>
      <c r="B6" s="6">
        <v>11</v>
      </c>
      <c r="D6" s="8" t="s">
        <v>34</v>
      </c>
      <c r="E6" s="6">
        <v>0</v>
      </c>
      <c r="G6" s="8" t="s">
        <v>134</v>
      </c>
      <c r="H6" s="6">
        <v>2</v>
      </c>
      <c r="I6" s="6">
        <v>2</v>
      </c>
    </row>
    <row r="7" spans="1:13" x14ac:dyDescent="0.3">
      <c r="D7" s="8" t="s">
        <v>30</v>
      </c>
      <c r="E7" s="6">
        <v>1</v>
      </c>
      <c r="G7" s="8" t="s">
        <v>62</v>
      </c>
      <c r="H7" s="6">
        <v>0</v>
      </c>
      <c r="I7" s="6">
        <v>2</v>
      </c>
    </row>
    <row r="8" spans="1:13" x14ac:dyDescent="0.3">
      <c r="D8" s="8" t="s">
        <v>21</v>
      </c>
      <c r="E8" s="6">
        <v>1</v>
      </c>
      <c r="G8" s="8" t="s">
        <v>65</v>
      </c>
      <c r="H8" s="6">
        <v>0</v>
      </c>
      <c r="I8" s="6">
        <v>2</v>
      </c>
    </row>
    <row r="9" spans="1:13" x14ac:dyDescent="0.3">
      <c r="D9" s="8" t="s">
        <v>14</v>
      </c>
      <c r="E9" s="6">
        <v>0</v>
      </c>
      <c r="G9" s="8" t="s">
        <v>149</v>
      </c>
      <c r="H9" s="6">
        <v>1</v>
      </c>
      <c r="I9" s="6">
        <v>1</v>
      </c>
    </row>
    <row r="10" spans="1:13" x14ac:dyDescent="0.3">
      <c r="D10" s="8" t="s">
        <v>42</v>
      </c>
      <c r="E10" s="6">
        <v>2</v>
      </c>
      <c r="G10" s="8" t="s">
        <v>151</v>
      </c>
      <c r="H10" s="6">
        <v>2</v>
      </c>
      <c r="I10" s="6">
        <v>2</v>
      </c>
    </row>
    <row r="11" spans="1:13" x14ac:dyDescent="0.3">
      <c r="D11" s="8" t="s">
        <v>153</v>
      </c>
      <c r="E11" s="6">
        <v>0</v>
      </c>
      <c r="G11" s="8" t="s">
        <v>159</v>
      </c>
      <c r="H11" s="6">
        <v>1</v>
      </c>
      <c r="I11" s="6">
        <v>1</v>
      </c>
    </row>
    <row r="12" spans="1:13" x14ac:dyDescent="0.3">
      <c r="D12" s="8" t="s">
        <v>158</v>
      </c>
      <c r="E12" s="6">
        <v>0</v>
      </c>
      <c r="G12" s="8" t="s">
        <v>97</v>
      </c>
      <c r="H12" s="6">
        <v>14</v>
      </c>
      <c r="I12" s="6">
        <v>25</v>
      </c>
    </row>
    <row r="13" spans="1:13" x14ac:dyDescent="0.3">
      <c r="D13" s="8" t="s">
        <v>97</v>
      </c>
      <c r="E13" s="6">
        <v>11</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93</v>
      </c>
      <c r="B1" t="s">
        <v>115</v>
      </c>
      <c r="C1" t="s">
        <v>94</v>
      </c>
      <c r="D1" t="s">
        <v>131</v>
      </c>
      <c r="E1" t="s">
        <v>127</v>
      </c>
      <c r="F1" t="s">
        <v>95</v>
      </c>
      <c r="G1" t="s">
        <v>96</v>
      </c>
      <c r="H1" t="s">
        <v>99</v>
      </c>
      <c r="J1" s="5" t="s">
        <v>98</v>
      </c>
      <c r="K1" t="s">
        <v>114</v>
      </c>
      <c r="N1" s="5" t="s">
        <v>119</v>
      </c>
      <c r="Y1" s="5" t="s">
        <v>98</v>
      </c>
      <c r="Z1" t="s">
        <v>130</v>
      </c>
      <c r="AC1" s="5" t="s">
        <v>98</v>
      </c>
      <c r="AD1" t="s">
        <v>130</v>
      </c>
    </row>
    <row r="2" spans="1:31" x14ac:dyDescent="0.3">
      <c r="A2" s="1">
        <v>42736</v>
      </c>
      <c r="B2" s="1" t="s">
        <v>116</v>
      </c>
      <c r="C2" t="s">
        <v>100</v>
      </c>
      <c r="D2" t="s">
        <v>132</v>
      </c>
      <c r="E2" t="s">
        <v>128</v>
      </c>
      <c r="F2">
        <v>1.99</v>
      </c>
      <c r="G2">
        <v>125</v>
      </c>
      <c r="H2">
        <f>Data_Table[[#This Row],[Price]]*Data_Table[[#This Row],[Unites]]</f>
        <v>248.75</v>
      </c>
      <c r="J2" s="8" t="s">
        <v>109</v>
      </c>
      <c r="K2" s="6">
        <v>746.75</v>
      </c>
      <c r="N2" t="s">
        <v>117</v>
      </c>
      <c r="O2" t="s">
        <v>118</v>
      </c>
      <c r="P2" t="s">
        <v>116</v>
      </c>
      <c r="Q2" t="s">
        <v>121</v>
      </c>
      <c r="R2" t="s">
        <v>122</v>
      </c>
      <c r="S2" t="s">
        <v>123</v>
      </c>
      <c r="T2" t="s">
        <v>124</v>
      </c>
      <c r="U2" t="s">
        <v>125</v>
      </c>
      <c r="V2" t="s">
        <v>126</v>
      </c>
      <c r="W2" t="s">
        <v>97</v>
      </c>
      <c r="Y2" s="8" t="s">
        <v>128</v>
      </c>
      <c r="Z2" s="6">
        <v>6</v>
      </c>
      <c r="AA2" s="10">
        <f>GETPIVOTDATA("Revenue",$Y$1,"Delivery","Delayed")/GETPIVOTDATA("Revenue",$Y$1)</f>
        <v>0.33333333333333331</v>
      </c>
      <c r="AC2" s="8" t="s">
        <v>132</v>
      </c>
      <c r="AD2" s="6">
        <v>5</v>
      </c>
      <c r="AE2" s="10">
        <f>GETPIVOTDATA("Revenue",$AC$1,"Return","No")/GETPIVOTDATA("Revenue",$AC$1)</f>
        <v>0.44444444444444442</v>
      </c>
    </row>
    <row r="3" spans="1:31" x14ac:dyDescent="0.3">
      <c r="A3" s="1">
        <v>42737</v>
      </c>
      <c r="B3" s="1" t="s">
        <v>118</v>
      </c>
      <c r="C3" t="s">
        <v>101</v>
      </c>
      <c r="D3" t="s">
        <v>132</v>
      </c>
      <c r="E3" t="s">
        <v>129</v>
      </c>
      <c r="F3">
        <v>2.4900000000000002</v>
      </c>
      <c r="G3">
        <v>200</v>
      </c>
      <c r="H3">
        <f>Data_Table[[#This Row],[Price]]*Data_Table[[#This Row],[Unites]]</f>
        <v>498.00000000000006</v>
      </c>
      <c r="J3" s="8" t="s">
        <v>110</v>
      </c>
      <c r="K3" s="6">
        <v>1094.5</v>
      </c>
      <c r="M3" t="s">
        <v>114</v>
      </c>
      <c r="N3" s="6">
        <v>698</v>
      </c>
      <c r="O3" s="6">
        <v>498.00000000000006</v>
      </c>
      <c r="P3" s="6">
        <v>248.75</v>
      </c>
      <c r="Q3" s="6">
        <v>1094.5</v>
      </c>
      <c r="R3" s="6">
        <v>599.4</v>
      </c>
      <c r="S3" s="6">
        <v>299.40000000000003</v>
      </c>
      <c r="T3" s="6">
        <v>811.25</v>
      </c>
      <c r="U3" s="6">
        <v>449.25</v>
      </c>
      <c r="V3" s="6">
        <v>584.54999999999995</v>
      </c>
      <c r="W3" s="6">
        <v>5283.1</v>
      </c>
      <c r="Y3" s="8" t="s">
        <v>129</v>
      </c>
      <c r="Z3" s="6">
        <v>3</v>
      </c>
      <c r="AA3" s="10">
        <f>GETPIVOTDATA("Revenue",$Y$1,"Delivery","On-time")/GETPIVOTDATA("Revenue",$Y$1)</f>
        <v>0.66666666666666663</v>
      </c>
      <c r="AC3" s="8" t="s">
        <v>133</v>
      </c>
      <c r="AD3" s="6">
        <v>4</v>
      </c>
      <c r="AE3" s="10">
        <f>GETPIVOTDATA("Revenue",$AC$1,"Return","Yes")/GETPIVOTDATA("Revenue",$AC$1)</f>
        <v>0.55555555555555558</v>
      </c>
    </row>
    <row r="4" spans="1:31" x14ac:dyDescent="0.3">
      <c r="A4" s="1">
        <v>42795</v>
      </c>
      <c r="B4" s="1" t="s">
        <v>121</v>
      </c>
      <c r="C4" t="s">
        <v>102</v>
      </c>
      <c r="D4" t="s">
        <v>132</v>
      </c>
      <c r="E4" t="s">
        <v>128</v>
      </c>
      <c r="F4">
        <v>1.99</v>
      </c>
      <c r="G4">
        <v>550</v>
      </c>
      <c r="H4">
        <f>Data_Table[[#This Row],[Price]]*Data_Table[[#This Row],[Unites]]</f>
        <v>1094.5</v>
      </c>
      <c r="J4" s="8" t="s">
        <v>111</v>
      </c>
      <c r="K4" s="6">
        <v>1183.9499999999998</v>
      </c>
      <c r="Y4" s="8" t="s">
        <v>97</v>
      </c>
      <c r="Z4" s="6">
        <v>9</v>
      </c>
      <c r="AC4" s="8" t="s">
        <v>97</v>
      </c>
      <c r="AD4" s="6">
        <v>9</v>
      </c>
    </row>
    <row r="5" spans="1:31" x14ac:dyDescent="0.3">
      <c r="A5" s="1">
        <v>42826</v>
      </c>
      <c r="B5" s="1" t="s">
        <v>122</v>
      </c>
      <c r="C5" t="s">
        <v>103</v>
      </c>
      <c r="D5" t="s">
        <v>133</v>
      </c>
      <c r="E5" t="s">
        <v>128</v>
      </c>
      <c r="F5">
        <v>9.99</v>
      </c>
      <c r="G5">
        <v>60</v>
      </c>
      <c r="H5">
        <f>Data_Table[[#This Row],[Price]]*Data_Table[[#This Row],[Unites]]</f>
        <v>599.4</v>
      </c>
      <c r="J5" s="8" t="s">
        <v>112</v>
      </c>
      <c r="K5" s="6">
        <v>997.40000000000009</v>
      </c>
      <c r="N5" s="9" t="s">
        <v>117</v>
      </c>
      <c r="O5" s="9" t="s">
        <v>118</v>
      </c>
      <c r="P5" s="9" t="s">
        <v>116</v>
      </c>
      <c r="Q5" s="9" t="s">
        <v>121</v>
      </c>
      <c r="R5" s="9" t="s">
        <v>122</v>
      </c>
      <c r="S5" s="9" t="s">
        <v>123</v>
      </c>
      <c r="T5" s="9" t="s">
        <v>124</v>
      </c>
      <c r="U5" s="9" t="s">
        <v>125</v>
      </c>
      <c r="V5" s="9" t="s">
        <v>126</v>
      </c>
    </row>
    <row r="6" spans="1:31" x14ac:dyDescent="0.3">
      <c r="A6" s="1">
        <v>42848</v>
      </c>
      <c r="B6" s="1" t="s">
        <v>126</v>
      </c>
      <c r="C6" t="s">
        <v>104</v>
      </c>
      <c r="D6" t="s">
        <v>132</v>
      </c>
      <c r="E6" t="s">
        <v>129</v>
      </c>
      <c r="F6">
        <v>12.99</v>
      </c>
      <c r="G6">
        <v>45</v>
      </c>
      <c r="H6">
        <f>Data_Table[[#This Row],[Price]]*Data_Table[[#This Row],[Unites]]</f>
        <v>584.54999999999995</v>
      </c>
      <c r="J6" s="8" t="s">
        <v>113</v>
      </c>
      <c r="K6" s="6">
        <v>1260.5</v>
      </c>
      <c r="M6" t="s">
        <v>120</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123</v>
      </c>
      <c r="C7" t="s">
        <v>105</v>
      </c>
      <c r="D7" t="s">
        <v>133</v>
      </c>
      <c r="E7" t="s">
        <v>129</v>
      </c>
      <c r="F7">
        <v>4.99</v>
      </c>
      <c r="G7">
        <v>60</v>
      </c>
      <c r="H7">
        <f>Data_Table[[#This Row],[Price]]*Data_Table[[#This Row],[Unites]]</f>
        <v>299.40000000000003</v>
      </c>
      <c r="J7" s="8" t="s">
        <v>97</v>
      </c>
      <c r="K7" s="6">
        <v>5283.1</v>
      </c>
    </row>
    <row r="8" spans="1:31" x14ac:dyDescent="0.3">
      <c r="A8" s="1">
        <v>42877</v>
      </c>
      <c r="B8" s="1" t="s">
        <v>117</v>
      </c>
      <c r="C8" t="s">
        <v>106</v>
      </c>
      <c r="D8" t="s">
        <v>132</v>
      </c>
      <c r="E8" t="s">
        <v>128</v>
      </c>
      <c r="F8">
        <v>3.49</v>
      </c>
      <c r="G8">
        <v>200</v>
      </c>
      <c r="H8">
        <f>Data_Table[[#This Row],[Price]]*Data_Table[[#This Row],[Unites]]</f>
        <v>698</v>
      </c>
    </row>
    <row r="9" spans="1:31" x14ac:dyDescent="0.3">
      <c r="A9" s="1">
        <v>42891</v>
      </c>
      <c r="B9" s="1" t="s">
        <v>124</v>
      </c>
      <c r="C9" t="s">
        <v>107</v>
      </c>
      <c r="D9" t="s">
        <v>133</v>
      </c>
      <c r="E9" t="s">
        <v>128</v>
      </c>
      <c r="F9">
        <v>6.49</v>
      </c>
      <c r="G9">
        <v>125</v>
      </c>
      <c r="H9">
        <f>Data_Table[[#This Row],[Price]]*Data_Table[[#This Row],[Unites]]</f>
        <v>811.25</v>
      </c>
    </row>
    <row r="10" spans="1:31" x14ac:dyDescent="0.3">
      <c r="A10" s="1">
        <v>42898</v>
      </c>
      <c r="B10" s="1" t="s">
        <v>125</v>
      </c>
      <c r="C10" t="s">
        <v>108</v>
      </c>
      <c r="D10" t="s">
        <v>133</v>
      </c>
      <c r="E10" t="s">
        <v>128</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Licenses</vt:lpstr>
      <vt:lpstr>Users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2020-12-08T16:05:36Z</dcterms:modified>
</cp:coreProperties>
</file>