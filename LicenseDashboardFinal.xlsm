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3.xml" ContentType="application/vnd.openxmlformats-officedocument.drawing+xml"/>
  <Override PartName="/xl/tables/table4.xml" ContentType="application/vnd.openxmlformats-officedocument.spreadsheetml.tab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hidePivotFieldList="1"/>
  <mc:AlternateContent xmlns:mc="http://schemas.openxmlformats.org/markup-compatibility/2006">
    <mc:Choice Requires="x15">
      <x15ac:absPath xmlns:x15ac="http://schemas.microsoft.com/office/spreadsheetml/2010/11/ac" url="C:\Users\Nightwing\Documents\VBA\"/>
    </mc:Choice>
  </mc:AlternateContent>
  <xr:revisionPtr revIDLastSave="0" documentId="13_ncr:1_{449FDEEC-6E5B-4F37-8A08-AFAD78474F55}" xr6:coauthVersionLast="45" xr6:coauthVersionMax="45" xr10:uidLastSave="{00000000-0000-0000-0000-000000000000}"/>
  <bookViews>
    <workbookView xWindow="-108" yWindow="-108" windowWidth="23256" windowHeight="13176" xr2:uid="{00000000-000D-0000-FFFF-FFFF00000000}"/>
  </bookViews>
  <sheets>
    <sheet name="Dashboard" sheetId="1" r:id="rId1"/>
    <sheet name="Licenses" sheetId="3" r:id="rId2"/>
    <sheet name="Users" sheetId="2" r:id="rId3"/>
    <sheet name="Assignments" sheetId="4" r:id="rId4"/>
    <sheet name="PivotTables" sheetId="5" r:id="rId5"/>
    <sheet name="Sample" sheetId="8" state="hidden" r:id="rId6"/>
  </sheets>
  <functionGroups builtInGroupCount="19"/>
  <definedNames>
    <definedName name="_xlchart.v5.0" hidden="1">Sample!$M$5</definedName>
    <definedName name="_xlchart.v5.1" hidden="1">Sample!$M$6</definedName>
    <definedName name="_xlchart.v5.2" hidden="1">Sample!$N$5:$V$5</definedName>
    <definedName name="_xlchart.v5.3" hidden="1">Sample!$N$6:$V$6</definedName>
    <definedName name="Slicer_AssetName">#N/A</definedName>
    <definedName name="Slicer_Component">#N/A</definedName>
    <definedName name="Slicer_Rank">#N/A</definedName>
  </definedNames>
  <calcPr calcId="191029"/>
  <pivotCaches>
    <pivotCache cacheId="0" r:id="rId7"/>
    <pivotCache cacheId="6" r:id="rId8"/>
    <pivotCache cacheId="1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4" i="3" l="1"/>
  <c r="E3" i="3" l="1"/>
  <c r="E4" i="3"/>
  <c r="E5" i="3"/>
  <c r="E6" i="3"/>
  <c r="E7" i="3"/>
  <c r="E8" i="3"/>
  <c r="E9" i="3"/>
  <c r="E10" i="3"/>
  <c r="E11" i="3"/>
  <c r="E12" i="3"/>
  <c r="E13" i="3"/>
  <c r="E14" i="3"/>
  <c r="E15" i="3"/>
  <c r="E16" i="3"/>
  <c r="E17" i="3"/>
  <c r="E18" i="3"/>
  <c r="E19" i="3"/>
  <c r="E20" i="3"/>
  <c r="E21" i="3"/>
  <c r="E2" i="3"/>
  <c r="M2" i="5"/>
  <c r="H2" i="8" l="1"/>
  <c r="H3" i="8"/>
  <c r="H4" i="8"/>
  <c r="H5" i="8"/>
  <c r="H6" i="8"/>
  <c r="H7" i="8"/>
  <c r="H8" i="8"/>
  <c r="H9" i="8"/>
  <c r="H10" i="8"/>
  <c r="AE3" i="8"/>
  <c r="N6" i="8"/>
  <c r="Q6" i="8"/>
  <c r="S6" i="8"/>
  <c r="AA2" i="8"/>
  <c r="AE2" i="8"/>
  <c r="U6" i="8"/>
  <c r="R6" i="8"/>
  <c r="V6" i="8"/>
  <c r="P6" i="8"/>
  <c r="AA3" i="8"/>
  <c r="T6" i="8"/>
  <c r="O6" i="8"/>
</calcChain>
</file>

<file path=xl/sharedStrings.xml><?xml version="1.0" encoding="utf-8"?>
<sst xmlns="http://schemas.openxmlformats.org/spreadsheetml/2006/main" count="323" uniqueCount="183">
  <si>
    <t>UserId</t>
  </si>
  <si>
    <t>First Name</t>
  </si>
  <si>
    <t>Middle Name</t>
  </si>
  <si>
    <t>Last Name</t>
  </si>
  <si>
    <t>Suffix</t>
  </si>
  <si>
    <t>Rank</t>
  </si>
  <si>
    <t>Component</t>
  </si>
  <si>
    <t>LicenseId</t>
  </si>
  <si>
    <t>AssetName</t>
  </si>
  <si>
    <t>Key</t>
  </si>
  <si>
    <t>StartDate</t>
  </si>
  <si>
    <t>EndDate</t>
  </si>
  <si>
    <t>Bruce</t>
  </si>
  <si>
    <t>Wayne</t>
  </si>
  <si>
    <t>N/A</t>
  </si>
  <si>
    <t>CPT</t>
  </si>
  <si>
    <t>Active Duty</t>
  </si>
  <si>
    <t>Natalia</t>
  </si>
  <si>
    <t>Allanovna</t>
  </si>
  <si>
    <t>Romanova</t>
  </si>
  <si>
    <t>COL</t>
  </si>
  <si>
    <t>MAJ</t>
  </si>
  <si>
    <t>Army Reserve</t>
  </si>
  <si>
    <t>Contractor</t>
  </si>
  <si>
    <t>Raven</t>
  </si>
  <si>
    <t>Mystique</t>
  </si>
  <si>
    <t>Darkholme</t>
  </si>
  <si>
    <t>Clark</t>
  </si>
  <si>
    <t>Kal-El</t>
  </si>
  <si>
    <t>Kent</t>
  </si>
  <si>
    <t>LTG</t>
  </si>
  <si>
    <t>Charles</t>
  </si>
  <si>
    <t>Francis</t>
  </si>
  <si>
    <t>Xavier</t>
  </si>
  <si>
    <t>LTC</t>
  </si>
  <si>
    <t>National Guard</t>
  </si>
  <si>
    <t>Lex</t>
  </si>
  <si>
    <t>Luthor</t>
  </si>
  <si>
    <t>Wade</t>
  </si>
  <si>
    <t>Wilson</t>
  </si>
  <si>
    <t>Deadpool</t>
  </si>
  <si>
    <t>Jr</t>
  </si>
  <si>
    <t>SPC</t>
  </si>
  <si>
    <t>Victor</t>
  </si>
  <si>
    <t>Von</t>
  </si>
  <si>
    <t>Doom</t>
  </si>
  <si>
    <t>CSM</t>
  </si>
  <si>
    <t>Wallace</t>
  </si>
  <si>
    <t>Rudolph</t>
  </si>
  <si>
    <t>West</t>
  </si>
  <si>
    <t>2LT</t>
  </si>
  <si>
    <t>Bartholomew</t>
  </si>
  <si>
    <t>Henry</t>
  </si>
  <si>
    <t>Allen</t>
  </si>
  <si>
    <t>JusticeLeague</t>
  </si>
  <si>
    <t>A1B2C3</t>
  </si>
  <si>
    <t>D1E1F1</t>
  </si>
  <si>
    <t>G1H1I1</t>
  </si>
  <si>
    <t>Avengers</t>
  </si>
  <si>
    <t>A1S2D3</t>
  </si>
  <si>
    <t>F4G5H6</t>
  </si>
  <si>
    <t>J7K8L9</t>
  </si>
  <si>
    <t>SpeedForce</t>
  </si>
  <si>
    <t>ZQXWCE</t>
  </si>
  <si>
    <t>VRBTNY</t>
  </si>
  <si>
    <t>WorldDomination</t>
  </si>
  <si>
    <t>A12345</t>
  </si>
  <si>
    <t>B12345</t>
  </si>
  <si>
    <t>Steve</t>
  </si>
  <si>
    <t>Rogers</t>
  </si>
  <si>
    <t>HasLicense</t>
  </si>
  <si>
    <t>Available</t>
  </si>
  <si>
    <t>DontUseMe</t>
  </si>
  <si>
    <t>A00000</t>
  </si>
  <si>
    <t>B00000</t>
  </si>
  <si>
    <t>G.</t>
  </si>
  <si>
    <t>Email</t>
  </si>
  <si>
    <t>brucewayne.mil@mail.mil</t>
  </si>
  <si>
    <t>nataliaromanova.mil@mail.mil</t>
  </si>
  <si>
    <t>steverogers.mil@mail.mil</t>
  </si>
  <si>
    <t>ravendarkholme.mil@mail.mil</t>
  </si>
  <si>
    <t>clarkkent.mil@mail.mil</t>
  </si>
  <si>
    <t>charlesxavier.mil@mail.mil</t>
  </si>
  <si>
    <t>lexluthor.mil@mail.mil</t>
  </si>
  <si>
    <t>wadewilson.mil@mail.mil</t>
  </si>
  <si>
    <t>wallacewest.mil@mail.mil</t>
  </si>
  <si>
    <t>bartholomewallen.mil@mail.mil</t>
  </si>
  <si>
    <t>victordoom.mil@mail.mil</t>
  </si>
  <si>
    <t>Grayson</t>
  </si>
  <si>
    <t>Branch</t>
  </si>
  <si>
    <t>Gordon</t>
  </si>
  <si>
    <t>grayson.b.gordon.mil@mail.mil</t>
  </si>
  <si>
    <t>License2Kill</t>
  </si>
  <si>
    <t>Sum of HasLicense</t>
  </si>
  <si>
    <t>Thomas</t>
  </si>
  <si>
    <t>James</t>
  </si>
  <si>
    <t>Finn</t>
  </si>
  <si>
    <t>III</t>
  </si>
  <si>
    <t>thomas.j.finn.mil@mail.mil</t>
  </si>
  <si>
    <t>Date</t>
  </si>
  <si>
    <t>Name</t>
  </si>
  <si>
    <t>Price</t>
  </si>
  <si>
    <t>Unites</t>
  </si>
  <si>
    <t>Grand Total</t>
  </si>
  <si>
    <t>Row Labels</t>
  </si>
  <si>
    <t>Revenue</t>
  </si>
  <si>
    <t>Alpha</t>
  </si>
  <si>
    <t>Bravo</t>
  </si>
  <si>
    <t>Charlie</t>
  </si>
  <si>
    <t>Delta</t>
  </si>
  <si>
    <t>Echo</t>
  </si>
  <si>
    <t>Foxtrot</t>
  </si>
  <si>
    <t>Golf</t>
  </si>
  <si>
    <t>Hotel</t>
  </si>
  <si>
    <t>Igloo</t>
  </si>
  <si>
    <t>Jan</t>
  </si>
  <si>
    <t>Mar</t>
  </si>
  <si>
    <t>Apr</t>
  </si>
  <si>
    <t>May</t>
  </si>
  <si>
    <t>Jun</t>
  </si>
  <si>
    <t>Sum of Revenue</t>
  </si>
  <si>
    <t>Location</t>
  </si>
  <si>
    <t>New York</t>
  </si>
  <si>
    <t>Connecticut</t>
  </si>
  <si>
    <t>Maine</t>
  </si>
  <si>
    <t>Column Labels</t>
  </si>
  <si>
    <t>Total Revenue</t>
  </si>
  <si>
    <t>New Hampshire</t>
  </si>
  <si>
    <t>Vermont</t>
  </si>
  <si>
    <t>Pennsylvania</t>
  </si>
  <si>
    <t>Massachusetts</t>
  </si>
  <si>
    <t>Rhode Island</t>
  </si>
  <si>
    <t>New Jersey</t>
  </si>
  <si>
    <t>Delivery</t>
  </si>
  <si>
    <t>On-time</t>
  </si>
  <si>
    <t>Delayed</t>
  </si>
  <si>
    <t>Count of Revenue</t>
  </si>
  <si>
    <t>Return</t>
  </si>
  <si>
    <t>Yes</t>
  </si>
  <si>
    <t>No</t>
  </si>
  <si>
    <t>RandomLicense</t>
  </si>
  <si>
    <t>Count of Available</t>
  </si>
  <si>
    <t>*Note: Available - 1 means it is available and 0 means it is not available</t>
  </si>
  <si>
    <t>M1N2O3</t>
  </si>
  <si>
    <t>P4Q5R6</t>
  </si>
  <si>
    <t>S7T8U9</t>
  </si>
  <si>
    <t>Z1X2C3</t>
  </si>
  <si>
    <t>V4B5N6</t>
  </si>
  <si>
    <t>License Available</t>
  </si>
  <si>
    <t>Total License Amount</t>
  </si>
  <si>
    <t>Length</t>
  </si>
  <si>
    <t>ABCDEF</t>
  </si>
  <si>
    <t>K12345</t>
  </si>
  <si>
    <t>K67890</t>
  </si>
  <si>
    <t>*Note: Start date is represented at value 43820</t>
  </si>
  <si>
    <t>Robot</t>
  </si>
  <si>
    <t>O5O5O5</t>
  </si>
  <si>
    <t>Robot2</t>
  </si>
  <si>
    <t>O6O6O6</t>
  </si>
  <si>
    <t>Brian</t>
  </si>
  <si>
    <t>B</t>
  </si>
  <si>
    <t>Baker</t>
  </si>
  <si>
    <t>brian.b.baker.mil@mail.mil</t>
  </si>
  <si>
    <t>1LT</t>
  </si>
  <si>
    <t>X5X6X7</t>
  </si>
  <si>
    <t>Joe</t>
  </si>
  <si>
    <t>A</t>
  </si>
  <si>
    <t>joe.a.joe@mail.mil</t>
  </si>
  <si>
    <t>PVT</t>
  </si>
  <si>
    <t>NewLicense</t>
  </si>
  <si>
    <t>AAABBB</t>
  </si>
  <si>
    <t>Username</t>
  </si>
  <si>
    <t>LicenseName</t>
  </si>
  <si>
    <t>Bruce Wayne</t>
  </si>
  <si>
    <t>Clark Kent</t>
  </si>
  <si>
    <t>Wallace West</t>
  </si>
  <si>
    <t>Natalia Allanovna</t>
  </si>
  <si>
    <t>Steve Rogers</t>
  </si>
  <si>
    <t>Wade Wilson</t>
  </si>
  <si>
    <t>Bartholomew Allen</t>
  </si>
  <si>
    <t>Victor Doom</t>
  </si>
  <si>
    <t>Grayson Gordon</t>
  </si>
  <si>
    <t>AAAAAA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</si>
</sst>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u/>
      <sz val="11"/>
      <color theme="10"/>
      <name val="Calibri"/>
      <family val="2"/>
      <scheme val="minor"/>
    </font>
    <font>
      <sz val="11"/>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rgb="FFC896FA"/>
        <bgColor indexed="64"/>
      </patternFill>
    </fill>
    <fill>
      <patternFill patternType="solid">
        <fgColor theme="4" tint="0.79998168889431442"/>
        <bgColor theme="4" tint="0.79998168889431442"/>
      </patternFill>
    </fill>
  </fills>
  <borders count="6">
    <border>
      <left/>
      <right/>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theme="4" tint="0.39997558519241921"/>
      </bottom>
      <diagonal/>
    </border>
    <border>
      <left/>
      <right/>
      <top style="thin">
        <color theme="4" tint="0.39997558519241921"/>
      </top>
      <bottom style="thin">
        <color theme="4" tint="0.39997558519241921"/>
      </bottom>
      <diagonal/>
    </border>
  </borders>
  <cellStyleXfs count="3">
    <xf numFmtId="0" fontId="0" fillId="0" borderId="0"/>
    <xf numFmtId="0" fontId="1" fillId="0" borderId="0" applyNumberFormat="0" applyFill="0" applyBorder="0" applyAlignment="0" applyProtection="0"/>
    <xf numFmtId="9" fontId="2" fillId="0" borderId="0" applyFont="0" applyFill="0" applyBorder="0" applyAlignment="0" applyProtection="0"/>
  </cellStyleXfs>
  <cellXfs count="15">
    <xf numFmtId="0" fontId="0" fillId="0" borderId="0" xfId="0"/>
    <xf numFmtId="14" fontId="0" fillId="0" borderId="0" xfId="0" applyNumberFormat="1"/>
    <xf numFmtId="0" fontId="0" fillId="2" borderId="3" xfId="0" applyFill="1" applyBorder="1"/>
    <xf numFmtId="0" fontId="0" fillId="2" borderId="1" xfId="0" applyFill="1" applyBorder="1"/>
    <xf numFmtId="0" fontId="0" fillId="2" borderId="2" xfId="0" applyFill="1" applyBorder="1"/>
    <xf numFmtId="0" fontId="0" fillId="0" borderId="0" xfId="0" pivotButton="1"/>
    <xf numFmtId="0" fontId="0" fillId="0" borderId="0" xfId="0" applyNumberFormat="1"/>
    <xf numFmtId="0" fontId="1" fillId="0" borderId="0" xfId="1"/>
    <xf numFmtId="0" fontId="0" fillId="0" borderId="0" xfId="0" applyAlignment="1">
      <alignment horizontal="left"/>
    </xf>
    <xf numFmtId="0" fontId="3" fillId="3" borderId="4" xfId="0" applyFont="1" applyFill="1" applyBorder="1"/>
    <xf numFmtId="9" fontId="0" fillId="0" borderId="0" xfId="2" applyFont="1"/>
    <xf numFmtId="2" fontId="0" fillId="0" borderId="0" xfId="0" applyNumberFormat="1"/>
    <xf numFmtId="0" fontId="0" fillId="3" borderId="5" xfId="0" applyFont="1" applyFill="1" applyBorder="1"/>
    <xf numFmtId="0" fontId="0" fillId="0" borderId="5" xfId="0" applyFont="1" applyBorder="1"/>
    <xf numFmtId="0" fontId="0" fillId="0" borderId="0" xfId="0" applyAlignment="1">
      <alignment horizontal="center" wrapText="1"/>
    </xf>
  </cellXfs>
  <cellStyles count="3">
    <cellStyle name="Hyperlink" xfId="1" builtinId="8"/>
    <cellStyle name="Normal" xfId="0" builtinId="0"/>
    <cellStyle name="Percent" xfId="2" builtinId="5"/>
  </cellStyles>
  <dxfs count="16">
    <dxf>
      <numFmt numFmtId="0" formatCode="General"/>
    </dxf>
    <dxf>
      <numFmt numFmtId="19" formatCode="m/d/yyyy"/>
    </dxf>
    <dxf>
      <border outline="0">
        <top style="thin">
          <color indexed="64"/>
        </top>
      </border>
    </dxf>
    <dxf>
      <border outline="0">
        <bottom style="thin">
          <color indexed="64"/>
        </bottom>
      </border>
    </dxf>
    <dxf>
      <fill>
        <patternFill patternType="solid">
          <fgColor indexed="64"/>
          <bgColor rgb="FFC896FA"/>
        </patternFill>
      </fill>
    </dxf>
    <dxf>
      <border outline="0">
        <top style="thin">
          <color indexed="64"/>
        </top>
      </border>
    </dxf>
    <dxf>
      <border outline="0">
        <bottom style="thin">
          <color indexed="64"/>
        </bottom>
      </border>
    </dxf>
    <dxf>
      <fill>
        <patternFill patternType="solid">
          <fgColor indexed="64"/>
          <bgColor rgb="FFC896FA"/>
        </patternFill>
      </fill>
    </dxf>
    <dxf>
      <numFmt numFmtId="19" formatCode="m/d/yyyy"/>
    </dxf>
    <dxf>
      <numFmt numFmtId="19" formatCode="m/d/yyyy"/>
    </dxf>
    <dxf>
      <numFmt numFmtId="19" formatCode="m/d/yyyy"/>
    </dxf>
    <dxf>
      <border outline="0">
        <top style="thin">
          <color indexed="64"/>
        </top>
      </border>
    </dxf>
    <dxf>
      <border outline="0">
        <bottom style="thin">
          <color indexed="64"/>
        </bottom>
      </border>
    </dxf>
    <dxf>
      <fill>
        <patternFill patternType="solid">
          <fgColor indexed="64"/>
          <bgColor rgb="FFC896FA"/>
        </patternFill>
      </fill>
    </dxf>
    <dxf>
      <font>
        <color theme="0"/>
      </font>
      <fill>
        <patternFill>
          <bgColor theme="1"/>
        </patternFill>
      </fill>
      <border diagonalUp="0" diagonalDown="0">
        <left/>
        <right/>
        <top/>
        <bottom/>
        <vertical/>
        <horizontal/>
      </border>
    </dxf>
    <dxf>
      <font>
        <color theme="1"/>
      </font>
      <fill>
        <patternFill>
          <bgColor theme="1"/>
        </patternFill>
      </fill>
      <border diagonalUp="0" diagonalDown="0">
        <left/>
        <right/>
        <top/>
        <bottom/>
        <vertical/>
        <horizontal/>
      </border>
    </dxf>
  </dxfs>
  <tableStyles count="1" defaultTableStyle="TableStyleMedium2" defaultPivotStyle="PivotStyleLight16">
    <tableStyle name="Nightshade" pivot="0" table="0" count="10" xr9:uid="{EE47E068-D4AB-4F62-9335-EE985BE772BA}">
      <tableStyleElement type="wholeTable" dxfId="15"/>
      <tableStyleElement type="headerRow" dxfId="14"/>
    </tableStyle>
  </tableStyles>
  <colors>
    <mruColors>
      <color rgb="FFFF66CC"/>
      <color rgb="FFC896FA"/>
      <color rgb="FF33CCCC"/>
      <color rgb="FF00FFCC"/>
      <color rgb="FF9966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degree="45">
              <stop position="0">
                <color theme="1"/>
              </stop>
              <stop position="1">
                <color rgb="FFC896FA"/>
              </stop>
            </gradientFill>
          </fill>
          <border>
            <left style="thin">
              <color rgb="FF999999"/>
            </left>
            <right style="thin">
              <color rgb="FF999999"/>
            </right>
            <top style="thin">
              <color rgb="FF999999"/>
            </top>
            <bottom style="thin">
              <color rgb="FF999999"/>
            </bottom>
            <vertical/>
            <horizontal/>
          </border>
        </dxf>
        <dxf>
          <font>
            <color theme="0"/>
          </font>
          <fill>
            <gradientFill degree="225">
              <stop position="0">
                <color theme="1"/>
              </stop>
              <stop position="1">
                <color rgb="FFC896FA"/>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1"/>
          </font>
          <fill>
            <patternFill patternType="solid">
              <fgColor rgb="FFC896FA"/>
              <bgColor theme="0"/>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Nightshad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3.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[LicenseDashboardFinal.xlsm]PivotTables!PivotTable5</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spPr>
          <a:gradFill>
            <a:gsLst>
              <a:gs pos="100000">
                <a:schemeClr val="accent6">
                  <a:lumMod val="60000"/>
                  <a:lumOff val="40000"/>
                </a:schemeClr>
              </a:gs>
              <a:gs pos="0">
                <a:schemeClr val="accent6"/>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a:gsLst>
              <a:gs pos="100000">
                <a:schemeClr val="accent6">
                  <a:tint val="58000"/>
                  <a:lumMod val="60000"/>
                  <a:lumOff val="40000"/>
                </a:schemeClr>
              </a:gs>
              <a:gs pos="0">
                <a:schemeClr val="accent6">
                  <a:tint val="58000"/>
                </a:schemeClr>
              </a:gs>
            </a:gsLst>
            <a:lin ang="5400000" scaled="0"/>
          </a:gradFill>
          <a:ln w="19050">
            <a:solidFill>
              <a:schemeClr val="lt1"/>
            </a:solidFill>
          </a:ln>
          <a:effectLst/>
        </c:spPr>
      </c:pivotFmt>
      <c:pivotFmt>
        <c:idx val="12"/>
        <c:spPr>
          <a:gradFill>
            <a:gsLst>
              <a:gs pos="100000">
                <a:schemeClr val="accent6">
                  <a:tint val="86000"/>
                  <a:lumMod val="60000"/>
                  <a:lumOff val="40000"/>
                </a:schemeClr>
              </a:gs>
              <a:gs pos="0">
                <a:schemeClr val="accent6">
                  <a:tint val="86000"/>
                </a:schemeClr>
              </a:gs>
            </a:gsLst>
            <a:lin ang="5400000" scaled="0"/>
          </a:gradFill>
          <a:ln w="19050">
            <a:solidFill>
              <a:schemeClr val="lt1"/>
            </a:solidFill>
          </a:ln>
          <a:effectLst/>
        </c:spPr>
      </c:pivotFmt>
      <c:pivotFmt>
        <c:idx val="13"/>
        <c:spPr>
          <a:gradFill>
            <a:gsLst>
              <a:gs pos="100000">
                <a:schemeClr val="accent6">
                  <a:shade val="86000"/>
                  <a:lumMod val="60000"/>
                  <a:lumOff val="40000"/>
                </a:schemeClr>
              </a:gs>
              <a:gs pos="0">
                <a:schemeClr val="accent6">
                  <a:shade val="86000"/>
                </a:schemeClr>
              </a:gs>
            </a:gsLst>
            <a:lin ang="5400000" scaled="0"/>
          </a:gradFill>
          <a:ln w="19050">
            <a:solidFill>
              <a:schemeClr val="lt1"/>
            </a:solidFill>
          </a:ln>
          <a:effectLst/>
        </c:spPr>
      </c:pivotFmt>
      <c:pivotFmt>
        <c:idx val="14"/>
        <c:spPr>
          <a:gradFill>
            <a:gsLst>
              <a:gs pos="100000">
                <a:schemeClr val="accent6">
                  <a:shade val="58000"/>
                  <a:lumMod val="60000"/>
                  <a:lumOff val="40000"/>
                </a:schemeClr>
              </a:gs>
              <a:gs pos="0">
                <a:schemeClr val="accent6">
                  <a:shade val="58000"/>
                </a:schemeClr>
              </a:gs>
            </a:gsLst>
            <a:lin ang="5400000" scaled="0"/>
          </a:gradFill>
          <a:ln w="19050">
            <a:solidFill>
              <a:schemeClr val="lt1"/>
            </a:solidFill>
          </a:ln>
          <a:effectLst/>
        </c:spPr>
      </c:pivotFmt>
    </c:pivotFmts>
    <c:plotArea>
      <c:layout>
        <c:manualLayout>
          <c:layoutTarget val="inner"/>
          <c:xMode val="edge"/>
          <c:yMode val="edge"/>
          <c:x val="4.2936209060823918E-2"/>
          <c:y val="9.9967124667145621E-2"/>
          <c:w val="0.53538391313125988"/>
          <c:h val="0.80848325215193129"/>
        </c:manualLayout>
      </c:layout>
      <c:doughnutChart>
        <c:varyColors val="1"/>
        <c:ser>
          <c:idx val="0"/>
          <c:order val="0"/>
          <c:tx>
            <c:strRef>
              <c:f>PivotTables!$B$1</c:f>
              <c:strCache>
                <c:ptCount val="1"/>
                <c:pt idx="0">
                  <c:v>Total</c:v>
                </c:pt>
              </c:strCache>
            </c:strRef>
          </c:tx>
          <c:dPt>
            <c:idx val="0"/>
            <c:bubble3D val="0"/>
            <c:spPr>
              <a:gradFill>
                <a:gsLst>
                  <a:gs pos="100000">
                    <a:schemeClr val="accent6">
                      <a:tint val="58000"/>
                      <a:lumMod val="60000"/>
                      <a:lumOff val="40000"/>
                    </a:schemeClr>
                  </a:gs>
                  <a:gs pos="0">
                    <a:schemeClr val="accent6">
                      <a:tint val="58000"/>
                    </a:schemeClr>
                  </a:gs>
                </a:gsLst>
                <a:lin ang="5400000" scaled="0"/>
              </a:gradFill>
              <a:ln w="19050">
                <a:solidFill>
                  <a:schemeClr val="lt1"/>
                </a:solidFill>
              </a:ln>
              <a:effectLst/>
            </c:spPr>
            <c:extLst>
              <c:ext xmlns:c16="http://schemas.microsoft.com/office/drawing/2014/chart" uri="{C3380CC4-5D6E-409C-BE32-E72D297353CC}">
                <c16:uniqueId val="{00000001-3418-4670-A220-16BF11646ADD}"/>
              </c:ext>
            </c:extLst>
          </c:dPt>
          <c:dPt>
            <c:idx val="1"/>
            <c:bubble3D val="0"/>
            <c:spPr>
              <a:gradFill>
                <a:gsLst>
                  <a:gs pos="100000">
                    <a:schemeClr val="accent6">
                      <a:tint val="86000"/>
                      <a:lumMod val="60000"/>
                      <a:lumOff val="40000"/>
                    </a:schemeClr>
                  </a:gs>
                  <a:gs pos="0">
                    <a:schemeClr val="accent6">
                      <a:tint val="86000"/>
                    </a:schemeClr>
                  </a:gs>
                </a:gsLst>
                <a:lin ang="5400000" scaled="0"/>
              </a:gradFill>
              <a:ln w="19050">
                <a:solidFill>
                  <a:schemeClr val="lt1"/>
                </a:solidFill>
              </a:ln>
              <a:effectLst/>
            </c:spPr>
            <c:extLst>
              <c:ext xmlns:c16="http://schemas.microsoft.com/office/drawing/2014/chart" uri="{C3380CC4-5D6E-409C-BE32-E72D297353CC}">
                <c16:uniqueId val="{00000003-3418-4670-A220-16BF11646ADD}"/>
              </c:ext>
            </c:extLst>
          </c:dPt>
          <c:dPt>
            <c:idx val="2"/>
            <c:bubble3D val="0"/>
            <c:spPr>
              <a:gradFill>
                <a:gsLst>
                  <a:gs pos="100000">
                    <a:schemeClr val="accent6">
                      <a:shade val="86000"/>
                      <a:lumMod val="60000"/>
                      <a:lumOff val="40000"/>
                    </a:schemeClr>
                  </a:gs>
                  <a:gs pos="0">
                    <a:schemeClr val="accent6">
                      <a:shade val="86000"/>
                    </a:schemeClr>
                  </a:gs>
                </a:gsLst>
                <a:lin ang="5400000" scaled="0"/>
              </a:gradFill>
              <a:ln w="19050">
                <a:solidFill>
                  <a:schemeClr val="lt1"/>
                </a:solidFill>
              </a:ln>
              <a:effectLst/>
            </c:spPr>
            <c:extLst>
              <c:ext xmlns:c16="http://schemas.microsoft.com/office/drawing/2014/chart" uri="{C3380CC4-5D6E-409C-BE32-E72D297353CC}">
                <c16:uniqueId val="{00000005-3418-4670-A220-16BF11646ADD}"/>
              </c:ext>
            </c:extLst>
          </c:dPt>
          <c:dPt>
            <c:idx val="3"/>
            <c:bubble3D val="0"/>
            <c:spPr>
              <a:gradFill>
                <a:gsLst>
                  <a:gs pos="100000">
                    <a:schemeClr val="accent6">
                      <a:shade val="58000"/>
                      <a:lumMod val="60000"/>
                      <a:lumOff val="40000"/>
                    </a:schemeClr>
                  </a:gs>
                  <a:gs pos="0">
                    <a:schemeClr val="accent6">
                      <a:shade val="58000"/>
                    </a:schemeClr>
                  </a:gs>
                </a:gsLst>
                <a:lin ang="5400000" scaled="0"/>
              </a:gradFill>
              <a:ln w="19050">
                <a:solidFill>
                  <a:schemeClr val="lt1"/>
                </a:solidFill>
              </a:ln>
              <a:effectLst/>
            </c:spPr>
            <c:extLst>
              <c:ext xmlns:c16="http://schemas.microsoft.com/office/drawing/2014/chart" uri="{C3380CC4-5D6E-409C-BE32-E72D297353CC}">
                <c16:uniqueId val="{00000007-3418-4670-A220-16BF11646AD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PivotTables!$A$2:$A$6</c:f>
              <c:strCache>
                <c:ptCount val="4"/>
                <c:pt idx="0">
                  <c:v>Active Duty</c:v>
                </c:pt>
                <c:pt idx="1">
                  <c:v>Army Reserve</c:v>
                </c:pt>
                <c:pt idx="2">
                  <c:v>Contractor</c:v>
                </c:pt>
                <c:pt idx="3">
                  <c:v>National Guard</c:v>
                </c:pt>
              </c:strCache>
            </c:strRef>
          </c:cat>
          <c:val>
            <c:numRef>
              <c:f>PivotTables!$B$2:$B$6</c:f>
              <c:numCache>
                <c:formatCode>General</c:formatCode>
                <c:ptCount val="4"/>
                <c:pt idx="0">
                  <c:v>7</c:v>
                </c:pt>
                <c:pt idx="1">
                  <c:v>1</c:v>
                </c:pt>
                <c:pt idx="2">
                  <c:v>2</c:v>
                </c:pt>
                <c:pt idx="3">
                  <c:v>1</c:v>
                </c:pt>
              </c:numCache>
            </c:numRef>
          </c:val>
          <c:extLst>
            <c:ext xmlns:c16="http://schemas.microsoft.com/office/drawing/2014/chart" uri="{C3380CC4-5D6E-409C-BE32-E72D297353CC}">
              <c16:uniqueId val="{00000008-3418-4670-A220-16BF11646ADD}"/>
            </c:ext>
          </c:extLst>
        </c:ser>
        <c:dLbls>
          <c:showLegendKey val="0"/>
          <c:showVal val="1"/>
          <c:showCatName val="0"/>
          <c:showSerName val="0"/>
          <c:showPercent val="0"/>
          <c:showBubbleSize val="0"/>
          <c:showLeaderLines val="1"/>
        </c:dLbls>
        <c:firstSliceAng val="0"/>
        <c:holeSize val="70"/>
      </c:doughnutChart>
      <c:spPr>
        <a:noFill/>
        <a:ln>
          <a:noFill/>
        </a:ln>
        <a:effectLst/>
      </c:spPr>
    </c:plotArea>
    <c:legend>
      <c:legendPos val="r"/>
      <c:layout>
        <c:manualLayout>
          <c:xMode val="edge"/>
          <c:yMode val="edge"/>
          <c:x val="0.58582106584503024"/>
          <c:y val="4.9516788941389667E-2"/>
          <c:w val="0.39980688032725004"/>
          <c:h val="0.90969204765634648"/>
        </c:manualLayout>
      </c:layout>
      <c:overlay val="0"/>
      <c:spPr>
        <a:noFill/>
        <a:ln>
          <a:noFill/>
        </a:ln>
        <a:effectLst/>
      </c:spPr>
      <c:txPr>
        <a:bodyPr rot="0" spcFirstLastPara="1" vertOverflow="ellipsis" vert="horz" wrap="square" anchor="ctr" anchorCtr="1"/>
        <a:lstStyle/>
        <a:p>
          <a:pPr>
            <a:defRPr sz="1000" b="0" i="0" u="none" strike="noStrike" kern="1200" baseline="0">
              <a:ln>
                <a:solidFill>
                  <a:schemeClr val="bg1"/>
                </a:solidFill>
              </a:ln>
              <a:solidFill>
                <a:schemeClr val="dk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solidFill>
              <a:schemeClr val="bg1"/>
            </a:solid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[LicenseDashboardFinal.xlsm]PivotTables!PivotTable6</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spPr>
          <a:gradFill>
            <a:gsLst>
              <a:gs pos="100000">
                <a:schemeClr val="accent6">
                  <a:lumMod val="60000"/>
                  <a:lumOff val="40000"/>
                </a:schemeClr>
              </a:gs>
              <a:gs pos="0">
                <a:schemeClr val="accent6"/>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0"/>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1"/>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2"/>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3"/>
        <c:spPr>
          <a:gradFill>
            <a:gsLst>
              <a:gs pos="100000">
                <a:schemeClr val="accent6">
                  <a:lumMod val="60000"/>
                  <a:lumOff val="40000"/>
                </a:schemeClr>
              </a:gs>
              <a:gs pos="0">
                <a:schemeClr val="accent6"/>
              </a:gs>
            </a:gsLst>
            <a:lin ang="5400000" scaled="0"/>
          </a:gra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5"/>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6"/>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7"/>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8"/>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9"/>
        <c:spPr>
          <a:gradFill>
            <a:gsLst>
              <a:gs pos="100000">
                <a:schemeClr val="accent6">
                  <a:lumMod val="60000"/>
                  <a:lumOff val="40000"/>
                </a:schemeClr>
              </a:gs>
              <a:gs pos="0">
                <a:schemeClr val="accent6"/>
              </a:gs>
            </a:gsLst>
            <a:lin ang="5400000" scaled="0"/>
          </a:gradFill>
          <a:ln w="19050">
            <a:solidFill>
              <a:schemeClr val="lt1"/>
            </a:solidFill>
          </a:ln>
          <a:effectLst/>
        </c:spPr>
      </c:pivotFmt>
    </c:pivotFmts>
    <c:plotArea>
      <c:layout>
        <c:manualLayout>
          <c:layoutTarget val="inner"/>
          <c:xMode val="edge"/>
          <c:yMode val="edge"/>
          <c:x val="3.4735299354375831E-2"/>
          <c:y val="9.2780704801285252E-2"/>
          <c:w val="0.53778668703848753"/>
          <c:h val="0.8144385903974295"/>
        </c:manualLayout>
      </c:layout>
      <c:doughnutChart>
        <c:varyColors val="1"/>
        <c:ser>
          <c:idx val="0"/>
          <c:order val="0"/>
          <c:tx>
            <c:strRef>
              <c:f>PivotTables!$E$1</c:f>
              <c:strCache>
                <c:ptCount val="1"/>
                <c:pt idx="0">
                  <c:v>Total</c:v>
                </c:pt>
              </c:strCache>
            </c:strRef>
          </c:tx>
          <c:dPt>
            <c:idx val="0"/>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001-380F-4CCB-9B50-A594CC2090D8}"/>
              </c:ext>
            </c:extLst>
          </c:dPt>
          <c:dPt>
            <c:idx val="1"/>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03-380F-4CCB-9B50-A594CC2090D8}"/>
              </c:ext>
            </c:extLst>
          </c:dPt>
          <c:dPt>
            <c:idx val="2"/>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005-380F-4CCB-9B50-A594CC2090D8}"/>
              </c:ext>
            </c:extLst>
          </c:dPt>
          <c:dPt>
            <c:idx val="3"/>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c:ext xmlns:c16="http://schemas.microsoft.com/office/drawing/2014/chart" uri="{C3380CC4-5D6E-409C-BE32-E72D297353CC}">
                <c16:uniqueId val="{00000007-380F-4CCB-9B50-A594CC2090D8}"/>
              </c:ext>
            </c:extLst>
          </c:dPt>
          <c:dPt>
            <c:idx val="4"/>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c:ext xmlns:c16="http://schemas.microsoft.com/office/drawing/2014/chart" uri="{C3380CC4-5D6E-409C-BE32-E72D297353CC}">
                <c16:uniqueId val="{00000009-380F-4CCB-9B50-A594CC2090D8}"/>
              </c:ext>
            </c:extLst>
          </c:dPt>
          <c:dPt>
            <c:idx val="5"/>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c:ext xmlns:c16="http://schemas.microsoft.com/office/drawing/2014/chart" uri="{C3380CC4-5D6E-409C-BE32-E72D297353CC}">
                <c16:uniqueId val="{0000000B-380F-4CCB-9B50-A594CC2090D8}"/>
              </c:ext>
            </c:extLst>
          </c:dPt>
          <c:dPt>
            <c:idx val="6"/>
            <c:bubble3D val="0"/>
            <c:spPr>
              <a:gradFill>
                <a:gsLst>
                  <a:gs pos="100000">
                    <a:schemeClr val="accent6">
                      <a:lumMod val="80000"/>
                      <a:lumOff val="20000"/>
                      <a:lumMod val="60000"/>
                      <a:lumOff val="40000"/>
                    </a:schemeClr>
                  </a:gs>
                  <a:gs pos="0">
                    <a:schemeClr val="accent6">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0D-380F-4CCB-9B50-A594CC2090D8}"/>
              </c:ext>
            </c:extLst>
          </c:dPt>
          <c:dPt>
            <c:idx val="7"/>
            <c:bubble3D val="0"/>
            <c:spPr>
              <a:gradFill>
                <a:gsLst>
                  <a:gs pos="100000">
                    <a:schemeClr val="accent5">
                      <a:lumMod val="80000"/>
                      <a:lumOff val="20000"/>
                      <a:lumMod val="60000"/>
                      <a:lumOff val="40000"/>
                    </a:schemeClr>
                  </a:gs>
                  <a:gs pos="0">
                    <a:schemeClr val="accent5">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0F-380F-4CCB-9B50-A594CC2090D8}"/>
              </c:ext>
            </c:extLst>
          </c:dPt>
          <c:dPt>
            <c:idx val="8"/>
            <c:bubble3D val="0"/>
            <c:spPr>
              <a:gradFill>
                <a:gsLst>
                  <a:gs pos="100000">
                    <a:schemeClr val="accent4">
                      <a:lumMod val="80000"/>
                      <a:lumOff val="20000"/>
                      <a:lumMod val="60000"/>
                      <a:lumOff val="40000"/>
                    </a:schemeClr>
                  </a:gs>
                  <a:gs pos="0">
                    <a:schemeClr val="accent4">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11-8672-4697-8EBE-5BE19D3E9C13}"/>
              </c:ext>
            </c:extLst>
          </c:dPt>
          <c:dPt>
            <c:idx val="9"/>
            <c:bubble3D val="0"/>
            <c:spPr>
              <a:gradFill>
                <a:gsLst>
                  <a:gs pos="100000">
                    <a:schemeClr val="accent6">
                      <a:lumMod val="80000"/>
                      <a:lumMod val="60000"/>
                      <a:lumOff val="40000"/>
                    </a:schemeClr>
                  </a:gs>
                  <a:gs pos="0">
                    <a:schemeClr val="accent6">
                      <a:lumMod val="80000"/>
                    </a:schemeClr>
                  </a:gs>
                </a:gsLst>
                <a:lin ang="5400000" scaled="0"/>
              </a:gradFill>
              <a:ln w="19050">
                <a:solidFill>
                  <a:schemeClr val="lt1"/>
                </a:solidFill>
              </a:ln>
              <a:effectLst/>
            </c:spPr>
            <c:extLst>
              <c:ext xmlns:c16="http://schemas.microsoft.com/office/drawing/2014/chart" uri="{C3380CC4-5D6E-409C-BE32-E72D297353CC}">
                <c16:uniqueId val="{00000013-8672-4697-8EBE-5BE19D3E9C13}"/>
              </c:ext>
            </c:extLst>
          </c:dPt>
          <c:dPt>
            <c:idx val="10"/>
            <c:bubble3D val="0"/>
            <c:spPr>
              <a:gradFill>
                <a:gsLst>
                  <a:gs pos="100000">
                    <a:schemeClr val="accent5">
                      <a:lumMod val="80000"/>
                      <a:lumMod val="60000"/>
                      <a:lumOff val="40000"/>
                    </a:schemeClr>
                  </a:gs>
                  <a:gs pos="0">
                    <a:schemeClr val="accent5">
                      <a:lumMod val="80000"/>
                    </a:schemeClr>
                  </a:gs>
                </a:gsLst>
                <a:lin ang="5400000" scaled="0"/>
              </a:gradFill>
              <a:ln w="19050">
                <a:solidFill>
                  <a:schemeClr val="lt1"/>
                </a:solidFill>
              </a:ln>
              <a:effectLst/>
            </c:spPr>
            <c:extLst>
              <c:ext xmlns:c16="http://schemas.microsoft.com/office/drawing/2014/chart" uri="{C3380CC4-5D6E-409C-BE32-E72D297353CC}">
                <c16:uniqueId val="{00000015-A02D-4D53-9206-75AB76C861C4}"/>
              </c:ext>
            </c:extLst>
          </c:dPt>
          <c:dLbls>
            <c:dLbl>
              <c:idx val="4"/>
              <c:delete val="1"/>
              <c:extLst>
                <c:ext xmlns:c15="http://schemas.microsoft.com/office/drawing/2012/chart" uri="{CE6537A1-D6FC-4f65-9D91-7224C49458BB}"/>
                <c:ext xmlns:c16="http://schemas.microsoft.com/office/drawing/2014/chart" uri="{C3380CC4-5D6E-409C-BE32-E72D297353CC}">
                  <c16:uniqueId val="{00000009-380F-4CCB-9B50-A594CC2090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PivotTables!$D$2:$D$13</c:f>
              <c:strCache>
                <c:ptCount val="11"/>
                <c:pt idx="0">
                  <c:v>2LT</c:v>
                </c:pt>
                <c:pt idx="1">
                  <c:v>COL</c:v>
                </c:pt>
                <c:pt idx="2">
                  <c:v>CPT</c:v>
                </c:pt>
                <c:pt idx="3">
                  <c:v>CSM</c:v>
                </c:pt>
                <c:pt idx="4">
                  <c:v>LTC</c:v>
                </c:pt>
                <c:pt idx="5">
                  <c:v>LTG</c:v>
                </c:pt>
                <c:pt idx="6">
                  <c:v>MAJ</c:v>
                </c:pt>
                <c:pt idx="7">
                  <c:v>N/A</c:v>
                </c:pt>
                <c:pt idx="8">
                  <c:v>SPC</c:v>
                </c:pt>
                <c:pt idx="9">
                  <c:v>1LT</c:v>
                </c:pt>
                <c:pt idx="10">
                  <c:v>PVT</c:v>
                </c:pt>
              </c:strCache>
            </c:strRef>
          </c:cat>
          <c:val>
            <c:numRef>
              <c:f>PivotTables!$E$2:$E$13</c:f>
              <c:numCache>
                <c:formatCode>General</c:formatCode>
                <c:ptCount val="11"/>
                <c:pt idx="0">
                  <c:v>3</c:v>
                </c:pt>
                <c:pt idx="1">
                  <c:v>1</c:v>
                </c:pt>
                <c:pt idx="2">
                  <c:v>2</c:v>
                </c:pt>
                <c:pt idx="3">
                  <c:v>1</c:v>
                </c:pt>
                <c:pt idx="4">
                  <c:v>0</c:v>
                </c:pt>
                <c:pt idx="5">
                  <c:v>1</c:v>
                </c:pt>
                <c:pt idx="6">
                  <c:v>1</c:v>
                </c:pt>
                <c:pt idx="7">
                  <c:v>0</c:v>
                </c:pt>
                <c:pt idx="8">
                  <c:v>2</c:v>
                </c:pt>
                <c:pt idx="9">
                  <c:v>0</c:v>
                </c:pt>
                <c:pt idx="10">
                  <c:v>0</c:v>
                </c:pt>
              </c:numCache>
            </c:numRef>
          </c:val>
          <c:extLst>
            <c:ext xmlns:c16="http://schemas.microsoft.com/office/drawing/2014/chart" uri="{C3380CC4-5D6E-409C-BE32-E72D297353CC}">
              <c16:uniqueId val="{00000010-380F-4CCB-9B50-A594CC2090D8}"/>
            </c:ext>
          </c:extLst>
        </c:ser>
        <c:dLbls>
          <c:showLegendKey val="0"/>
          <c:showVal val="1"/>
          <c:showCatName val="0"/>
          <c:showSerName val="0"/>
          <c:showPercent val="0"/>
          <c:showBubbleSize val="0"/>
          <c:showLeaderLines val="1"/>
        </c:dLbls>
        <c:firstSliceAng val="0"/>
        <c:holeSize val="70"/>
      </c:doughnutChart>
      <c:spPr>
        <a:noFill/>
        <a:ln>
          <a:noFill/>
        </a:ln>
        <a:effectLst/>
      </c:spPr>
    </c:plotArea>
    <c:legend>
      <c:legendPos val="r"/>
      <c:layout>
        <c:manualLayout>
          <c:xMode val="edge"/>
          <c:yMode val="edge"/>
          <c:x val="0.59080838530808144"/>
          <c:y val="3.5109273401126365E-2"/>
          <c:w val="0.39100037977892127"/>
          <c:h val="0.94570688086099786"/>
        </c:manualLayout>
      </c:layout>
      <c:overlay val="0"/>
      <c:spPr>
        <a:noFill/>
        <a:ln>
          <a:noFill/>
        </a:ln>
        <a:effectLst/>
      </c:spPr>
      <c:txPr>
        <a:bodyPr rot="0" spcFirstLastPara="1" vertOverflow="ellipsis" vert="horz" wrap="square" anchor="ctr" anchorCtr="1"/>
        <a:lstStyle/>
        <a:p>
          <a:pPr>
            <a:defRPr sz="1000" b="0" i="0" u="none" strike="noStrike" kern="1200" baseline="0">
              <a:ln>
                <a:solidFill>
                  <a:schemeClr val="bg1"/>
                </a:solidFill>
              </a:ln>
              <a:solidFill>
                <a:schemeClr val="bg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[LicenseDashboardFinal.xlsm]PivotTables!PivotTable7</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0"/>
      <c:rotY val="0"/>
      <c:depthPercent val="100"/>
      <c:rAngAx val="0"/>
    </c:view3D>
    <c:floor>
      <c:thickness val="0"/>
      <c:spPr>
        <a:solidFill>
          <a:schemeClr val="lt1"/>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1192764187539201"/>
          <c:y val="1.9425019425019424E-2"/>
          <c:w val="0.46236914701207593"/>
          <c:h val="0.90987463979589966"/>
        </c:manualLayout>
      </c:layout>
      <c:bar3DChart>
        <c:barDir val="bar"/>
        <c:grouping val="clustered"/>
        <c:varyColors val="0"/>
        <c:ser>
          <c:idx val="0"/>
          <c:order val="0"/>
          <c:tx>
            <c:strRef>
              <c:f>PivotTables!$H$1</c:f>
              <c:strCache>
                <c:ptCount val="1"/>
                <c:pt idx="0">
                  <c:v>License Available</c:v>
                </c:pt>
              </c:strCache>
            </c:strRef>
          </c:tx>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invertIfNegative val="0"/>
          <c:cat>
            <c:strRef>
              <c:f>PivotTables!$G$2:$G$12</c:f>
              <c:strCache>
                <c:ptCount val="10"/>
                <c:pt idx="0">
                  <c:v>Avengers</c:v>
                </c:pt>
                <c:pt idx="1">
                  <c:v>DontUseMe</c:v>
                </c:pt>
                <c:pt idx="2">
                  <c:v>JusticeLeague</c:v>
                </c:pt>
                <c:pt idx="3">
                  <c:v>License2Kill</c:v>
                </c:pt>
                <c:pt idx="4">
                  <c:v>RandomLicense</c:v>
                </c:pt>
                <c:pt idx="5">
                  <c:v>SpeedForce</c:v>
                </c:pt>
                <c:pt idx="6">
                  <c:v>WorldDomination</c:v>
                </c:pt>
                <c:pt idx="7">
                  <c:v>Robot</c:v>
                </c:pt>
                <c:pt idx="8">
                  <c:v>Robot2</c:v>
                </c:pt>
                <c:pt idx="9">
                  <c:v>NewLicense</c:v>
                </c:pt>
              </c:strCache>
            </c:strRef>
          </c:cat>
          <c:val>
            <c:numRef>
              <c:f>PivotTables!$H$2:$H$12</c:f>
              <c:numCache>
                <c:formatCode>General</c:formatCode>
                <c:ptCount val="10"/>
                <c:pt idx="0">
                  <c:v>3</c:v>
                </c:pt>
                <c:pt idx="1">
                  <c:v>2</c:v>
                </c:pt>
                <c:pt idx="2">
                  <c:v>2</c:v>
                </c:pt>
                <c:pt idx="3">
                  <c:v>1</c:v>
                </c:pt>
                <c:pt idx="4">
                  <c:v>2</c:v>
                </c:pt>
                <c:pt idx="5">
                  <c:v>0</c:v>
                </c:pt>
                <c:pt idx="6">
                  <c:v>0</c:v>
                </c:pt>
                <c:pt idx="7">
                  <c:v>1</c:v>
                </c:pt>
                <c:pt idx="8">
                  <c:v>2</c:v>
                </c:pt>
                <c:pt idx="9">
                  <c:v>1</c:v>
                </c:pt>
              </c:numCache>
            </c:numRef>
          </c:val>
          <c:extLst>
            <c:ext xmlns:c16="http://schemas.microsoft.com/office/drawing/2014/chart" uri="{C3380CC4-5D6E-409C-BE32-E72D297353CC}">
              <c16:uniqueId val="{00000000-D56F-4B2E-A7DD-80B52099BAC4}"/>
            </c:ext>
          </c:extLst>
        </c:ser>
        <c:ser>
          <c:idx val="1"/>
          <c:order val="1"/>
          <c:tx>
            <c:strRef>
              <c:f>PivotTables!$I$1</c:f>
              <c:strCache>
                <c:ptCount val="1"/>
                <c:pt idx="0">
                  <c:v>Total License Amount</c:v>
                </c:pt>
              </c:strCache>
            </c:strRef>
          </c:tx>
          <c:spPr>
            <a:pattFill prst="ltDnDiag">
              <a:fgClr>
                <a:schemeClr val="accent3"/>
              </a:fgClr>
              <a:bgClr>
                <a:schemeClr val="accent3">
                  <a:lumMod val="20000"/>
                  <a:lumOff val="80000"/>
                </a:schemeClr>
              </a:bgClr>
            </a:pattFill>
            <a:ln>
              <a:solidFill>
                <a:schemeClr val="accent3"/>
              </a:solidFill>
            </a:ln>
            <a:effectLst/>
            <a:sp3d>
              <a:contourClr>
                <a:schemeClr val="accent3"/>
              </a:contourClr>
            </a:sp3d>
          </c:spPr>
          <c:invertIfNegative val="0"/>
          <c:cat>
            <c:strRef>
              <c:f>PivotTables!$G$2:$G$12</c:f>
              <c:strCache>
                <c:ptCount val="10"/>
                <c:pt idx="0">
                  <c:v>Avengers</c:v>
                </c:pt>
                <c:pt idx="1">
                  <c:v>DontUseMe</c:v>
                </c:pt>
                <c:pt idx="2">
                  <c:v>JusticeLeague</c:v>
                </c:pt>
                <c:pt idx="3">
                  <c:v>License2Kill</c:v>
                </c:pt>
                <c:pt idx="4">
                  <c:v>RandomLicense</c:v>
                </c:pt>
                <c:pt idx="5">
                  <c:v>SpeedForce</c:v>
                </c:pt>
                <c:pt idx="6">
                  <c:v>WorldDomination</c:v>
                </c:pt>
                <c:pt idx="7">
                  <c:v>Robot</c:v>
                </c:pt>
                <c:pt idx="8">
                  <c:v>Robot2</c:v>
                </c:pt>
                <c:pt idx="9">
                  <c:v>NewLicense</c:v>
                </c:pt>
              </c:strCache>
            </c:strRef>
          </c:cat>
          <c:val>
            <c:numRef>
              <c:f>PivotTables!$I$2:$I$12</c:f>
              <c:numCache>
                <c:formatCode>General</c:formatCode>
                <c:ptCount val="10"/>
                <c:pt idx="0">
                  <c:v>6</c:v>
                </c:pt>
                <c:pt idx="1">
                  <c:v>2</c:v>
                </c:pt>
                <c:pt idx="2">
                  <c:v>5</c:v>
                </c:pt>
                <c:pt idx="3">
                  <c:v>2</c:v>
                </c:pt>
                <c:pt idx="4">
                  <c:v>2</c:v>
                </c:pt>
                <c:pt idx="5">
                  <c:v>2</c:v>
                </c:pt>
                <c:pt idx="6">
                  <c:v>2</c:v>
                </c:pt>
                <c:pt idx="7">
                  <c:v>1</c:v>
                </c:pt>
                <c:pt idx="8">
                  <c:v>2</c:v>
                </c:pt>
                <c:pt idx="9">
                  <c:v>1</c:v>
                </c:pt>
              </c:numCache>
            </c:numRef>
          </c:val>
          <c:extLst>
            <c:ext xmlns:c16="http://schemas.microsoft.com/office/drawing/2014/chart" uri="{C3380CC4-5D6E-409C-BE32-E72D297353CC}">
              <c16:uniqueId val="{00000001-D56F-4B2E-A7DD-80B52099BAC4}"/>
            </c:ext>
          </c:extLst>
        </c:ser>
        <c:dLbls>
          <c:showLegendKey val="0"/>
          <c:showVal val="0"/>
          <c:showCatName val="0"/>
          <c:showSerName val="0"/>
          <c:showPercent val="0"/>
          <c:showBubbleSize val="0"/>
        </c:dLbls>
        <c:gapWidth val="160"/>
        <c:gapDepth val="0"/>
        <c:shape val="box"/>
        <c:axId val="1706206175"/>
        <c:axId val="1431273743"/>
        <c:axId val="0"/>
      </c:bar3DChart>
      <c:catAx>
        <c:axId val="170620617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chemeClr val="bg1"/>
                  </a:solidFill>
                </a:ln>
                <a:solidFill>
                  <a:schemeClr val="bg1"/>
                </a:solidFill>
                <a:latin typeface="Times New Roman" panose="02020603050405020304" pitchFamily="18" charset="0"/>
                <a:ea typeface="+mn-ea"/>
                <a:cs typeface="Times New Roman" panose="02020603050405020304" pitchFamily="18" charset="0"/>
              </a:defRPr>
            </a:pPr>
            <a:endParaRPr lang="en-US"/>
          </a:p>
        </c:txPr>
        <c:crossAx val="1431273743"/>
        <c:crosses val="autoZero"/>
        <c:auto val="1"/>
        <c:lblAlgn val="ctr"/>
        <c:lblOffset val="100"/>
        <c:noMultiLvlLbl val="0"/>
      </c:catAx>
      <c:valAx>
        <c:axId val="143127374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chemeClr val="bg1"/>
                  </a:solidFill>
                </a:ln>
                <a:solidFill>
                  <a:schemeClr val="bg1"/>
                </a:solidFill>
                <a:latin typeface="+mn-lt"/>
                <a:ea typeface="+mn-ea"/>
                <a:cs typeface="+mn-cs"/>
              </a:defRPr>
            </a:pPr>
            <a:endParaRPr lang="en-US"/>
          </a:p>
        </c:txPr>
        <c:crossAx val="1706206175"/>
        <c:crosses val="autoZero"/>
        <c:crossBetween val="between"/>
      </c:valAx>
      <c:spPr>
        <a:noFill/>
        <a:ln>
          <a:noFill/>
        </a:ln>
        <a:effectLst/>
      </c:spPr>
    </c:plotArea>
    <c:legend>
      <c:legendPos val="r"/>
      <c:layout>
        <c:manualLayout>
          <c:xMode val="edge"/>
          <c:yMode val="edge"/>
          <c:x val="0.77421762244916603"/>
          <c:y val="0.17006637421205742"/>
          <c:w val="0.21268672622418716"/>
          <c:h val="0.5316126120277368"/>
        </c:manualLayout>
      </c:layout>
      <c:overlay val="0"/>
      <c:spPr>
        <a:noFill/>
        <a:ln>
          <a:noFill/>
        </a:ln>
        <a:effectLst/>
      </c:spPr>
      <c:txPr>
        <a:bodyPr rot="0" spcFirstLastPara="1" vertOverflow="ellipsis" vert="horz" wrap="square" anchor="ctr" anchorCtr="1"/>
        <a:lstStyle/>
        <a:p>
          <a:pPr>
            <a:defRPr sz="900" b="0" i="0" u="none" strike="noStrike" kern="1200" baseline="0">
              <a:ln>
                <a:solidFill>
                  <a:schemeClr val="bg1"/>
                </a:solidFill>
              </a:ln>
              <a:solidFill>
                <a:schemeClr val="bg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solidFill>
              <a:schemeClr val="bg1"/>
            </a:solidFill>
          </a:ln>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[LicenseDashboardFinal.xlsm]PivotTables!PivotTable9</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spPr>
          <a:gradFill>
            <a:gsLst>
              <a:gs pos="100000">
                <a:schemeClr val="accent6">
                  <a:lumMod val="60000"/>
                  <a:lumOff val="40000"/>
                </a:schemeClr>
              </a:gs>
              <a:gs pos="0">
                <a:schemeClr val="accent6"/>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9"/>
        <c:spPr>
          <a:gradFill>
            <a:gsLst>
              <a:gs pos="100000">
                <a:schemeClr val="accent6">
                  <a:lumMod val="60000"/>
                  <a:lumOff val="40000"/>
                </a:schemeClr>
              </a:gs>
              <a:gs pos="0">
                <a:schemeClr val="accent6"/>
              </a:gs>
            </a:gsLst>
            <a:lin ang="5400000" scaled="0"/>
          </a:gradFill>
          <a:ln w="19050">
            <a:solidFill>
              <a:schemeClr val="lt1"/>
            </a:solidFill>
          </a:ln>
          <a:effectLst/>
        </c:spPr>
      </c:pivotFmt>
    </c:pivotFmts>
    <c:plotArea>
      <c:layout>
        <c:manualLayout>
          <c:layoutTarget val="inner"/>
          <c:xMode val="edge"/>
          <c:yMode val="edge"/>
          <c:x val="0.2705128205128205"/>
          <c:y val="6.7001675041876041E-2"/>
          <c:w val="0.45897435897435895"/>
          <c:h val="0.89949748743718594"/>
        </c:manualLayout>
      </c:layout>
      <c:doughnutChart>
        <c:varyColors val="1"/>
        <c:ser>
          <c:idx val="0"/>
          <c:order val="0"/>
          <c:tx>
            <c:strRef>
              <c:f>PivotTables!$L$1</c:f>
              <c:strCache>
                <c:ptCount val="1"/>
                <c:pt idx="0">
                  <c:v>Total</c:v>
                </c:pt>
              </c:strCache>
            </c:strRef>
          </c:tx>
          <c:dPt>
            <c:idx val="0"/>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001-697B-486A-AA4D-EF5FCD509867}"/>
              </c:ext>
            </c:extLst>
          </c:dPt>
          <c:dPt>
            <c:idx val="1"/>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03-697B-486A-AA4D-EF5FCD509867}"/>
              </c:ext>
            </c:extLst>
          </c:dPt>
          <c:cat>
            <c:strRef>
              <c:f>PivotTables!$K$2:$K$4</c:f>
              <c:strCache>
                <c:ptCount val="2"/>
                <c:pt idx="0">
                  <c:v>1</c:v>
                </c:pt>
                <c:pt idx="1">
                  <c:v>0</c:v>
                </c:pt>
              </c:strCache>
            </c:strRef>
          </c:cat>
          <c:val>
            <c:numRef>
              <c:f>PivotTables!$L$2:$L$4</c:f>
              <c:numCache>
                <c:formatCode>General</c:formatCode>
                <c:ptCount val="2"/>
                <c:pt idx="0">
                  <c:v>14</c:v>
                </c:pt>
                <c:pt idx="1">
                  <c:v>11</c:v>
                </c:pt>
              </c:numCache>
            </c:numRef>
          </c:val>
          <c:extLst>
            <c:ext xmlns:c16="http://schemas.microsoft.com/office/drawing/2014/chart" uri="{C3380CC4-5D6E-409C-BE32-E72D297353CC}">
              <c16:uniqueId val="{00000004-697B-486A-AA4D-EF5FCD509867}"/>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solidFill>
              <a:schemeClr val="bg1"/>
            </a:solidFill>
          </a:ln>
          <a:solidFill>
            <a:schemeClr val="bg1"/>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Licenses!$D$1</c:f>
              <c:strCache>
                <c:ptCount val="1"/>
                <c:pt idx="0">
                  <c:v>StartDate</c:v>
                </c:pt>
              </c:strCache>
            </c:strRef>
          </c:tx>
          <c:spPr>
            <a:noFill/>
            <a:ln w="9525" cap="flat" cmpd="sng" algn="ctr">
              <a:noFill/>
              <a:round/>
            </a:ln>
            <a:effectLst/>
          </c:spPr>
          <c:invertIfNegative val="0"/>
          <c:cat>
            <c:strRef>
              <c:extLst>
                <c:ext xmlns:c15="http://schemas.microsoft.com/office/drawing/2012/chart" uri="{02D57815-91ED-43cb-92C2-25804820EDAC}">
                  <c15:fullRef>
                    <c15:sqref>Licenses!$C$2:$C$26</c15:sqref>
                  </c15:fullRef>
                </c:ext>
              </c:extLst>
              <c:f>(Licenses!$C$2:$C$19,Licenses!$C$22:$C$26)</c:f>
              <c:strCache>
                <c:ptCount val="23"/>
                <c:pt idx="0">
                  <c:v>A1B2C3</c:v>
                </c:pt>
                <c:pt idx="1">
                  <c:v>D1E1F1</c:v>
                </c:pt>
                <c:pt idx="2">
                  <c:v>G1H1I1</c:v>
                </c:pt>
                <c:pt idx="3">
                  <c:v>A1S2D3</c:v>
                </c:pt>
                <c:pt idx="4">
                  <c:v>F4G5H6</c:v>
                </c:pt>
                <c:pt idx="5">
                  <c:v>J7K8L9</c:v>
                </c:pt>
                <c:pt idx="6">
                  <c:v>ZQXWCE</c:v>
                </c:pt>
                <c:pt idx="7">
                  <c:v>VRBTNY</c:v>
                </c:pt>
                <c:pt idx="8">
                  <c:v>A12345</c:v>
                </c:pt>
                <c:pt idx="9">
                  <c:v>B12345</c:v>
                </c:pt>
                <c:pt idx="10">
                  <c:v>A00000</c:v>
                </c:pt>
                <c:pt idx="11">
                  <c:v>B00000</c:v>
                </c:pt>
                <c:pt idx="12">
                  <c:v>K12345</c:v>
                </c:pt>
                <c:pt idx="13">
                  <c:v>K67890</c:v>
                </c:pt>
                <c:pt idx="14">
                  <c:v>ABCDEF</c:v>
                </c:pt>
                <c:pt idx="15">
                  <c:v>M1N2O3</c:v>
                </c:pt>
                <c:pt idx="16">
                  <c:v>P4Q5R6</c:v>
                </c:pt>
                <c:pt idx="17">
                  <c:v>S7T8U9</c:v>
                </c:pt>
                <c:pt idx="18">
                  <c:v>O5O5O5</c:v>
                </c:pt>
                <c:pt idx="19">
                  <c:v>O6O6O6</c:v>
                </c:pt>
                <c:pt idx="20">
                  <c:v>X5X6X7</c:v>
                </c:pt>
                <c:pt idx="21">
                  <c:v>AAABBB</c:v>
                </c:pt>
                <c:pt idx="22">
                  <c:v>AAAAAA</c:v>
                </c:pt>
              </c:strCache>
            </c:strRef>
          </c:cat>
          <c:val>
            <c:numRef>
              <c:extLst>
                <c:ext xmlns:c15="http://schemas.microsoft.com/office/drawing/2012/chart" uri="{02D57815-91ED-43cb-92C2-25804820EDAC}">
                  <c15:fullRef>
                    <c15:sqref>Licenses!$D$2:$D$26</c15:sqref>
                  </c15:fullRef>
                </c:ext>
              </c:extLst>
              <c:f>(Licenses!$D$2:$D$19,Licenses!$D$22:$D$26)</c:f>
              <c:numCache>
                <c:formatCode>m/d/yyyy</c:formatCode>
                <c:ptCount val="23"/>
                <c:pt idx="0">
                  <c:v>43831</c:v>
                </c:pt>
                <c:pt idx="1">
                  <c:v>43862</c:v>
                </c:pt>
                <c:pt idx="2">
                  <c:v>43891</c:v>
                </c:pt>
                <c:pt idx="3">
                  <c:v>43983</c:v>
                </c:pt>
                <c:pt idx="4">
                  <c:v>43984</c:v>
                </c:pt>
                <c:pt idx="5">
                  <c:v>43985</c:v>
                </c:pt>
                <c:pt idx="6">
                  <c:v>44109</c:v>
                </c:pt>
                <c:pt idx="7">
                  <c:v>44114</c:v>
                </c:pt>
                <c:pt idx="8">
                  <c:v>43845</c:v>
                </c:pt>
                <c:pt idx="9">
                  <c:v>43876</c:v>
                </c:pt>
                <c:pt idx="10">
                  <c:v>43925</c:v>
                </c:pt>
                <c:pt idx="11">
                  <c:v>43956</c:v>
                </c:pt>
                <c:pt idx="12">
                  <c:v>43850</c:v>
                </c:pt>
                <c:pt idx="13">
                  <c:v>43855</c:v>
                </c:pt>
                <c:pt idx="14">
                  <c:v>44015</c:v>
                </c:pt>
                <c:pt idx="15">
                  <c:v>43984</c:v>
                </c:pt>
                <c:pt idx="16">
                  <c:v>44076</c:v>
                </c:pt>
                <c:pt idx="17">
                  <c:v>43842</c:v>
                </c:pt>
                <c:pt idx="18">
                  <c:v>44136</c:v>
                </c:pt>
                <c:pt idx="19">
                  <c:v>44150</c:v>
                </c:pt>
                <c:pt idx="20">
                  <c:v>44119</c:v>
                </c:pt>
                <c:pt idx="21">
                  <c:v>43831</c:v>
                </c:pt>
                <c:pt idx="22">
                  <c:v>43831</c:v>
                </c:pt>
              </c:numCache>
            </c:numRef>
          </c:val>
          <c:extLst>
            <c:ext xmlns:c16="http://schemas.microsoft.com/office/drawing/2014/chart" uri="{C3380CC4-5D6E-409C-BE32-E72D297353CC}">
              <c16:uniqueId val="{00000000-5807-48EC-8933-F53D3791F232}"/>
            </c:ext>
          </c:extLst>
        </c:ser>
        <c:ser>
          <c:idx val="1"/>
          <c:order val="1"/>
          <c:tx>
            <c:strRef>
              <c:f>Licenses!$E$1</c:f>
              <c:strCache>
                <c:ptCount val="1"/>
                <c:pt idx="0">
                  <c:v>Length</c:v>
                </c:pt>
              </c:strCache>
            </c:strRef>
          </c:tx>
          <c:spPr>
            <a:solidFill>
              <a:schemeClr val="accent5">
                <a:alpha val="85000"/>
              </a:schemeClr>
            </a:solidFill>
            <a:ln w="9525" cap="flat" cmpd="sng" algn="ctr">
              <a:solidFill>
                <a:schemeClr val="lt1">
                  <a:alpha val="50000"/>
                </a:schemeClr>
              </a:solidFill>
              <a:round/>
            </a:ln>
            <a:effectLst/>
          </c:spPr>
          <c:invertIfNegative val="0"/>
          <c:cat>
            <c:strRef>
              <c:extLst>
                <c:ext xmlns:c15="http://schemas.microsoft.com/office/drawing/2012/chart" uri="{02D57815-91ED-43cb-92C2-25804820EDAC}">
                  <c15:fullRef>
                    <c15:sqref>Licenses!$C$2:$C$26</c15:sqref>
                  </c15:fullRef>
                </c:ext>
              </c:extLst>
              <c:f>(Licenses!$C$2:$C$19,Licenses!$C$22:$C$26)</c:f>
              <c:strCache>
                <c:ptCount val="23"/>
                <c:pt idx="0">
                  <c:v>A1B2C3</c:v>
                </c:pt>
                <c:pt idx="1">
                  <c:v>D1E1F1</c:v>
                </c:pt>
                <c:pt idx="2">
                  <c:v>G1H1I1</c:v>
                </c:pt>
                <c:pt idx="3">
                  <c:v>A1S2D3</c:v>
                </c:pt>
                <c:pt idx="4">
                  <c:v>F4G5H6</c:v>
                </c:pt>
                <c:pt idx="5">
                  <c:v>J7K8L9</c:v>
                </c:pt>
                <c:pt idx="6">
                  <c:v>ZQXWCE</c:v>
                </c:pt>
                <c:pt idx="7">
                  <c:v>VRBTNY</c:v>
                </c:pt>
                <c:pt idx="8">
                  <c:v>A12345</c:v>
                </c:pt>
                <c:pt idx="9">
                  <c:v>B12345</c:v>
                </c:pt>
                <c:pt idx="10">
                  <c:v>A00000</c:v>
                </c:pt>
                <c:pt idx="11">
                  <c:v>B00000</c:v>
                </c:pt>
                <c:pt idx="12">
                  <c:v>K12345</c:v>
                </c:pt>
                <c:pt idx="13">
                  <c:v>K67890</c:v>
                </c:pt>
                <c:pt idx="14">
                  <c:v>ABCDEF</c:v>
                </c:pt>
                <c:pt idx="15">
                  <c:v>M1N2O3</c:v>
                </c:pt>
                <c:pt idx="16">
                  <c:v>P4Q5R6</c:v>
                </c:pt>
                <c:pt idx="17">
                  <c:v>S7T8U9</c:v>
                </c:pt>
                <c:pt idx="18">
                  <c:v>O5O5O5</c:v>
                </c:pt>
                <c:pt idx="19">
                  <c:v>O6O6O6</c:v>
                </c:pt>
                <c:pt idx="20">
                  <c:v>X5X6X7</c:v>
                </c:pt>
                <c:pt idx="21">
                  <c:v>AAABBB</c:v>
                </c:pt>
                <c:pt idx="22">
                  <c:v>AAAAAA</c:v>
                </c:pt>
              </c:strCache>
            </c:strRef>
          </c:cat>
          <c:val>
            <c:numRef>
              <c:extLst>
                <c:ext xmlns:c15="http://schemas.microsoft.com/office/drawing/2012/chart" uri="{02D57815-91ED-43cb-92C2-25804820EDAC}">
                  <c15:fullRef>
                    <c15:sqref>Licenses!$E$2:$E$26</c15:sqref>
                  </c15:fullRef>
                </c:ext>
              </c:extLst>
              <c:f>(Licenses!$E$2:$E$19,Licenses!$E$22:$E$26)</c:f>
              <c:numCache>
                <c:formatCode>0.00</c:formatCode>
                <c:ptCount val="23"/>
                <c:pt idx="0">
                  <c:v>731</c:v>
                </c:pt>
                <c:pt idx="1">
                  <c:v>1504</c:v>
                </c:pt>
                <c:pt idx="2">
                  <c:v>1080</c:v>
                </c:pt>
                <c:pt idx="3">
                  <c:v>471</c:v>
                </c:pt>
                <c:pt idx="4">
                  <c:v>470</c:v>
                </c:pt>
                <c:pt idx="5">
                  <c:v>469</c:v>
                </c:pt>
                <c:pt idx="6">
                  <c:v>498</c:v>
                </c:pt>
                <c:pt idx="7">
                  <c:v>493</c:v>
                </c:pt>
                <c:pt idx="8">
                  <c:v>352</c:v>
                </c:pt>
                <c:pt idx="9">
                  <c:v>352</c:v>
                </c:pt>
                <c:pt idx="10">
                  <c:v>3048</c:v>
                </c:pt>
                <c:pt idx="11">
                  <c:v>2683</c:v>
                </c:pt>
                <c:pt idx="12">
                  <c:v>743</c:v>
                </c:pt>
                <c:pt idx="13">
                  <c:v>738</c:v>
                </c:pt>
                <c:pt idx="14">
                  <c:v>731</c:v>
                </c:pt>
                <c:pt idx="15">
                  <c:v>488</c:v>
                </c:pt>
                <c:pt idx="16">
                  <c:v>224</c:v>
                </c:pt>
                <c:pt idx="17">
                  <c:v>528</c:v>
                </c:pt>
                <c:pt idx="18">
                  <c:v>49</c:v>
                </c:pt>
                <c:pt idx="19">
                  <c:v>61</c:v>
                </c:pt>
                <c:pt idx="20">
                  <c:v>2993</c:v>
                </c:pt>
                <c:pt idx="21">
                  <c:v>3685</c:v>
                </c:pt>
                <c:pt idx="22">
                  <c:v>1</c:v>
                </c:pt>
              </c:numCache>
            </c:numRef>
          </c:val>
          <c:extLst>
            <c:ext xmlns:c16="http://schemas.microsoft.com/office/drawing/2014/chart" uri="{C3380CC4-5D6E-409C-BE32-E72D297353CC}">
              <c16:uniqueId val="{00000001-5807-48EC-8933-F53D3791F232}"/>
            </c:ext>
          </c:extLst>
        </c:ser>
        <c:dLbls>
          <c:showLegendKey val="0"/>
          <c:showVal val="0"/>
          <c:showCatName val="0"/>
          <c:showSerName val="0"/>
          <c:showPercent val="0"/>
          <c:showBubbleSize val="0"/>
        </c:dLbls>
        <c:gapWidth val="150"/>
        <c:overlap val="100"/>
        <c:axId val="997902240"/>
        <c:axId val="531861488"/>
        <c:extLst>
          <c:ext xmlns:c15="http://schemas.microsoft.com/office/drawing/2012/chart" uri="{02D57815-91ED-43cb-92C2-25804820EDAC}">
            <c15:filteredBarSeries>
              <c15:ser>
                <c:idx val="2"/>
                <c:order val="2"/>
                <c:tx>
                  <c:strRef>
                    <c:extLst>
                      <c:ext uri="{02D57815-91ED-43cb-92C2-25804820EDAC}">
                        <c15:formulaRef>
                          <c15:sqref>Licenses!$F$1</c15:sqref>
                        </c15:formulaRef>
                      </c:ext>
                    </c:extLst>
                    <c:strCache>
                      <c:ptCount val="1"/>
                      <c:pt idx="0">
                        <c:v>EndDate</c:v>
                      </c:pt>
                    </c:strCache>
                  </c:strRef>
                </c:tx>
                <c:spPr>
                  <a:solidFill>
                    <a:schemeClr val="accent4">
                      <a:alpha val="85000"/>
                    </a:schemeClr>
                  </a:solidFill>
                  <a:ln w="9525" cap="flat" cmpd="sng" algn="ctr">
                    <a:solidFill>
                      <a:schemeClr val="lt1">
                        <a:alpha val="50000"/>
                      </a:schemeClr>
                    </a:solidFill>
                    <a:round/>
                  </a:ln>
                  <a:effectLst/>
                </c:spPr>
                <c:invertIfNegative val="0"/>
                <c:cat>
                  <c:strRef>
                    <c:extLst>
                      <c:ext uri="{02D57815-91ED-43cb-92C2-25804820EDAC}">
                        <c15:fullRef>
                          <c15:sqref>Licenses!$C$2:$C$26</c15:sqref>
                        </c15:fullRef>
                        <c15:formulaRef>
                          <c15:sqref>(Licenses!$C$2:$C$19,Licenses!$C$22:$C$26)</c15:sqref>
                        </c15:formulaRef>
                      </c:ext>
                    </c:extLst>
                    <c:strCache>
                      <c:ptCount val="23"/>
                      <c:pt idx="0">
                        <c:v>A1B2C3</c:v>
                      </c:pt>
                      <c:pt idx="1">
                        <c:v>D1E1F1</c:v>
                      </c:pt>
                      <c:pt idx="2">
                        <c:v>G1H1I1</c:v>
                      </c:pt>
                      <c:pt idx="3">
                        <c:v>A1S2D3</c:v>
                      </c:pt>
                      <c:pt idx="4">
                        <c:v>F4G5H6</c:v>
                      </c:pt>
                      <c:pt idx="5">
                        <c:v>J7K8L9</c:v>
                      </c:pt>
                      <c:pt idx="6">
                        <c:v>ZQXWCE</c:v>
                      </c:pt>
                      <c:pt idx="7">
                        <c:v>VRBTNY</c:v>
                      </c:pt>
                      <c:pt idx="8">
                        <c:v>A12345</c:v>
                      </c:pt>
                      <c:pt idx="9">
                        <c:v>B12345</c:v>
                      </c:pt>
                      <c:pt idx="10">
                        <c:v>A00000</c:v>
                      </c:pt>
                      <c:pt idx="11">
                        <c:v>B00000</c:v>
                      </c:pt>
                      <c:pt idx="12">
                        <c:v>K12345</c:v>
                      </c:pt>
                      <c:pt idx="13">
                        <c:v>K67890</c:v>
                      </c:pt>
                      <c:pt idx="14">
                        <c:v>ABCDEF</c:v>
                      </c:pt>
                      <c:pt idx="15">
                        <c:v>M1N2O3</c:v>
                      </c:pt>
                      <c:pt idx="16">
                        <c:v>P4Q5R6</c:v>
                      </c:pt>
                      <c:pt idx="17">
                        <c:v>S7T8U9</c:v>
                      </c:pt>
                      <c:pt idx="18">
                        <c:v>O5O5O5</c:v>
                      </c:pt>
                      <c:pt idx="19">
                        <c:v>O6O6O6</c:v>
                      </c:pt>
                      <c:pt idx="20">
                        <c:v>X5X6X7</c:v>
                      </c:pt>
                      <c:pt idx="21">
                        <c:v>AAABBB</c:v>
                      </c:pt>
                      <c:pt idx="22">
                        <c:v>AAAAAA</c:v>
                      </c:pt>
                    </c:strCache>
                  </c:strRef>
                </c:cat>
                <c:val>
                  <c:numRef>
                    <c:extLst>
                      <c:ext uri="{02D57815-91ED-43cb-92C2-25804820EDAC}">
                        <c15:fullRef>
                          <c15:sqref>Licenses!$F$2:$F$26</c15:sqref>
                        </c15:fullRef>
                        <c15:formulaRef>
                          <c15:sqref>(Licenses!$F$2:$F$19,Licenses!$F$22:$F$26)</c15:sqref>
                        </c15:formulaRef>
                      </c:ext>
                    </c:extLst>
                    <c:numCache>
                      <c:formatCode>m/d/yyyy</c:formatCode>
                      <c:ptCount val="23"/>
                      <c:pt idx="0">
                        <c:v>44562</c:v>
                      </c:pt>
                      <c:pt idx="1">
                        <c:v>45366</c:v>
                      </c:pt>
                      <c:pt idx="2">
                        <c:v>44971</c:v>
                      </c:pt>
                      <c:pt idx="3">
                        <c:v>44454</c:v>
                      </c:pt>
                      <c:pt idx="4">
                        <c:v>44454</c:v>
                      </c:pt>
                      <c:pt idx="5">
                        <c:v>44454</c:v>
                      </c:pt>
                      <c:pt idx="6">
                        <c:v>44607</c:v>
                      </c:pt>
                      <c:pt idx="7">
                        <c:v>44607</c:v>
                      </c:pt>
                      <c:pt idx="8">
                        <c:v>44197</c:v>
                      </c:pt>
                      <c:pt idx="9">
                        <c:v>44228</c:v>
                      </c:pt>
                      <c:pt idx="10">
                        <c:v>46973</c:v>
                      </c:pt>
                      <c:pt idx="11">
                        <c:v>46639</c:v>
                      </c:pt>
                      <c:pt idx="12">
                        <c:v>44593</c:v>
                      </c:pt>
                      <c:pt idx="13">
                        <c:v>44593</c:v>
                      </c:pt>
                      <c:pt idx="14">
                        <c:v>44746</c:v>
                      </c:pt>
                      <c:pt idx="15">
                        <c:v>44472</c:v>
                      </c:pt>
                      <c:pt idx="16">
                        <c:v>44300</c:v>
                      </c:pt>
                      <c:pt idx="17">
                        <c:v>44370</c:v>
                      </c:pt>
                      <c:pt idx="18">
                        <c:v>44185</c:v>
                      </c:pt>
                      <c:pt idx="19">
                        <c:v>44211</c:v>
                      </c:pt>
                      <c:pt idx="20">
                        <c:v>47112</c:v>
                      </c:pt>
                      <c:pt idx="21">
                        <c:v>47516</c:v>
                      </c:pt>
                      <c:pt idx="22">
                        <c:v>43832</c:v>
                      </c:pt>
                    </c:numCache>
                  </c:numRef>
                </c:val>
                <c:extLst>
                  <c:ext xmlns:c16="http://schemas.microsoft.com/office/drawing/2014/chart" uri="{C3380CC4-5D6E-409C-BE32-E72D297353CC}">
                    <c16:uniqueId val="{00000002-5807-48EC-8933-F53D3791F232}"/>
                  </c:ext>
                </c:extLst>
              </c15:ser>
            </c15:filteredBarSeries>
          </c:ext>
        </c:extLst>
      </c:barChart>
      <c:dateAx>
        <c:axId val="997902240"/>
        <c:scaling>
          <c:orientation val="maxMin"/>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800" b="0" i="0" u="none" strike="noStrike" kern="1200" cap="all" baseline="0">
                <a:ln>
                  <a:solidFill>
                    <a:schemeClr val="bg1"/>
                  </a:solidFill>
                </a:ln>
                <a:solidFill>
                  <a:schemeClr val="bg1"/>
                </a:solidFill>
                <a:latin typeface="Times New Roman" panose="02020603050405020304" pitchFamily="18" charset="0"/>
                <a:ea typeface="+mn-ea"/>
                <a:cs typeface="Times New Roman" panose="02020603050405020304" pitchFamily="18" charset="0"/>
              </a:defRPr>
            </a:pPr>
            <a:endParaRPr lang="en-US"/>
          </a:p>
        </c:txPr>
        <c:crossAx val="531861488"/>
        <c:crosses val="autoZero"/>
        <c:auto val="0"/>
        <c:lblOffset val="100"/>
        <c:baseTimeUnit val="days"/>
      </c:dateAx>
      <c:valAx>
        <c:axId val="531861488"/>
        <c:scaling>
          <c:orientation val="minMax"/>
          <c:min val="43820"/>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m/d/yyyy" sourceLinked="0"/>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ln>
                  <a:solidFill>
                    <a:schemeClr val="bg1"/>
                  </a:solidFill>
                </a:ln>
                <a:solidFill>
                  <a:schemeClr val="bg1"/>
                </a:solidFill>
                <a:latin typeface="Times New Roman" panose="02020603050405020304" pitchFamily="18" charset="0"/>
                <a:ea typeface="+mn-ea"/>
                <a:cs typeface="Times New Roman" panose="02020603050405020304" pitchFamily="18" charset="0"/>
              </a:defRPr>
            </a:pPr>
            <a:endParaRPr lang="en-US"/>
          </a:p>
        </c:txPr>
        <c:crossAx val="997902240"/>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800">
          <a:ln>
            <a:solidFill>
              <a:schemeClr val="bg1"/>
            </a:solidFill>
          </a:ln>
          <a:solidFill>
            <a:schemeClr val="bg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[LicenseDashboardFinal.xlsm]Sample!PivotTable1</c:name>
    <c:fmtId val="1"/>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Sample!$K$1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Sample!$J$2:$J$7</c:f>
              <c:strCache>
                <c:ptCount val="5"/>
                <c:pt idx="0">
                  <c:v>Jan</c:v>
                </c:pt>
                <c:pt idx="1">
                  <c:v>Mar</c:v>
                </c:pt>
                <c:pt idx="2">
                  <c:v>Apr</c:v>
                </c:pt>
                <c:pt idx="3">
                  <c:v>May</c:v>
                </c:pt>
                <c:pt idx="4">
                  <c:v>Jun</c:v>
                </c:pt>
              </c:strCache>
            </c:strRef>
          </c:cat>
          <c:val>
            <c:numRef>
              <c:f>Sample!$K$2:$K$7</c:f>
              <c:numCache>
                <c:formatCode>General</c:formatCode>
                <c:ptCount val="5"/>
                <c:pt idx="0">
                  <c:v>746.75</c:v>
                </c:pt>
                <c:pt idx="1">
                  <c:v>1094.5</c:v>
                </c:pt>
                <c:pt idx="2">
                  <c:v>1183.9499999999998</c:v>
                </c:pt>
                <c:pt idx="3">
                  <c:v>997.40000000000009</c:v>
                </c:pt>
                <c:pt idx="4">
                  <c:v>1260.5</c:v>
                </c:pt>
              </c:numCache>
            </c:numRef>
          </c:val>
          <c:smooth val="0"/>
          <c:extLst>
            <c:ext xmlns:c16="http://schemas.microsoft.com/office/drawing/2014/chart" uri="{C3380CC4-5D6E-409C-BE32-E72D297353CC}">
              <c16:uniqueId val="{00000000-88DA-4348-90F6-9CE1D3AE6919}"/>
            </c:ext>
          </c:extLst>
        </c:ser>
        <c:dLbls>
          <c:showLegendKey val="0"/>
          <c:showVal val="0"/>
          <c:showCatName val="0"/>
          <c:showSerName val="0"/>
          <c:showPercent val="0"/>
          <c:showBubbleSize val="0"/>
        </c:dLbls>
        <c:marker val="1"/>
        <c:smooth val="0"/>
        <c:axId val="1621673791"/>
        <c:axId val="1482562127"/>
      </c:lineChart>
      <c:catAx>
        <c:axId val="1621673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2562127"/>
        <c:crosses val="autoZero"/>
        <c:auto val="1"/>
        <c:lblAlgn val="ctr"/>
        <c:lblOffset val="100"/>
        <c:noMultiLvlLbl val="0"/>
      </c:catAx>
      <c:valAx>
        <c:axId val="148256212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16737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[LicenseDashboardFinal.xlsm]Sample!PivotTable3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doughnutChart>
        <c:varyColors val="1"/>
        <c:ser>
          <c:idx val="0"/>
          <c:order val="0"/>
          <c:tx>
            <c:strRef>
              <c:f>Sample!$Z$1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2B60-4DF5-9612-67FE8FF8FC04}"/>
              </c:ext>
            </c:extLst>
          </c:dPt>
          <c:dPt>
            <c:idx val="1"/>
            <c:bubble3D val="0"/>
            <c:spPr>
              <a:solidFill>
                <a:schemeClr val="accent2"/>
              </a:solidFill>
              <a:ln>
                <a:noFill/>
              </a:ln>
              <a:effectLst/>
            </c:spPr>
            <c:extLst>
              <c:ext xmlns:c16="http://schemas.microsoft.com/office/drawing/2014/chart" uri="{C3380CC4-5D6E-409C-BE32-E72D297353CC}">
                <c16:uniqueId val="{00000003-2B60-4DF5-9612-67FE8FF8FC04}"/>
              </c:ext>
            </c:extLst>
          </c:dPt>
          <c:cat>
            <c:strRef>
              <c:f>Sample!$Y$2:$Y$4</c:f>
              <c:strCache>
                <c:ptCount val="2"/>
                <c:pt idx="0">
                  <c:v>On-time</c:v>
                </c:pt>
                <c:pt idx="1">
                  <c:v>Delayed</c:v>
                </c:pt>
              </c:strCache>
            </c:strRef>
          </c:cat>
          <c:val>
            <c:numRef>
              <c:f>Sample!$Z$2:$Z$4</c:f>
              <c:numCache>
                <c:formatCode>General</c:formatCode>
                <c:ptCount val="2"/>
                <c:pt idx="0">
                  <c:v>6</c:v>
                </c:pt>
                <c:pt idx="1">
                  <c:v>3</c:v>
                </c:pt>
              </c:numCache>
            </c:numRef>
          </c:val>
          <c:extLst>
            <c:ext xmlns:c16="http://schemas.microsoft.com/office/drawing/2014/chart" uri="{C3380CC4-5D6E-409C-BE32-E72D297353CC}">
              <c16:uniqueId val="{00000000-02F6-4E0C-8862-F0D4E3111384}"/>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[LicenseDashboardFinal.xlsm]Sample!PivotTable4</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Sample!$AD$1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3C0-4E20-A38C-C0DB289E67F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3C0-4E20-A38C-C0DB289E67F0}"/>
              </c:ext>
            </c:extLst>
          </c:dPt>
          <c:cat>
            <c:strRef>
              <c:f>Sample!$AC$2:$AC$4</c:f>
              <c:strCache>
                <c:ptCount val="2"/>
                <c:pt idx="0">
                  <c:v>Yes</c:v>
                </c:pt>
                <c:pt idx="1">
                  <c:v>No</c:v>
                </c:pt>
              </c:strCache>
            </c:strRef>
          </c:cat>
          <c:val>
            <c:numRef>
              <c:f>Sample!$AD$2:$AD$4</c:f>
              <c:numCache>
                <c:formatCode>General</c:formatCode>
                <c:ptCount val="2"/>
                <c:pt idx="0">
                  <c:v>5</c:v>
                </c:pt>
                <c:pt idx="1">
                  <c:v>4</c:v>
                </c:pt>
              </c:numCache>
            </c:numRef>
          </c:val>
          <c:extLst>
            <c:ext xmlns:c16="http://schemas.microsoft.com/office/drawing/2014/chart" uri="{C3380CC4-5D6E-409C-BE32-E72D297353CC}">
              <c16:uniqueId val="{00000000-3C0B-4375-98FE-D690E80E6012}"/>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_xlchart.v5.2</cx:f>
        <cx:nf dir="row">_xlchart.v5.0</cx:nf>
      </cx:strDim>
      <cx:numDim type="colorVal">
        <cx:f dir="row">_xlchart.v5.3</cx:f>
        <cx:nf dir="row">_xlchart.v5.1</cx:nf>
      </cx:numDim>
    </cx:data>
  </cx:chartData>
  <cx:chart>
    <cx:plotArea>
      <cx:plotAreaRegion>
        <cx:series layoutId="regionMap" uniqueId="{D9636BFD-E10C-4317-BD67-E741C0F17C45}">
          <cx:tx>
            <cx:txData>
              <cx:f>_xlchart.v5.1</cx:f>
              <cx:v>Total Revenue</cx:v>
            </cx:txData>
          </cx:tx>
          <cx:dataId val="0"/>
          <cx:layoutPr>
            <cx:regionLabelLayout val="bestFitOnly"/>
            <cx:geography viewedRegionType="dataOnly" cultureLanguage="en-US" cultureRegion="US" attribution="Powered by Bing">
              <cx:geoCache provider="{E9337A44-BEBE-4D9F-B70C-5C5E7DAFC167}">
                <cx:binary>1Htpb9222u1fKfL5KqVIkSIPTl/gUsPe3p5iO3aGL8KOY0vURFEiNf36+2in6UncnLYvUFygKKpq
ayL5jGstuv9+nP/1WD8d+5/mpm6Hfz3Ov7wqrO3+9fPPw2Px1ByH14167PWgn+3rR938rJ+f1ePT
z5/746Ta/GeM/ODnx+LY26f51f/8G76WP+kL/Xi0Src37qlfbp8GV9vhD+798NZPx8+NamM12F49
Wv+XV5Fu26dHqx6dffXTU2uVXd4u3dMvr7578NVPP7/83O+G/qmG2Vn3Gd4N/Nc0pD4NfUYpDkkQ
vPqp1m3+620vxK9DwjH3Mf066NWxgRf/4mxOczl+/tw/DQOs6PTfFy9/N3249/bVT4/atXazXA5G
/OXVfavs0+ef7uzRPg2vflKDjr48EOltDfd3p0X//L3t/+ffLy6AGV5c+cY9L232Z7d+553bAuby
09lQH9vPXy31t7iHYY4FRpyEAcLkpXvAfT7niAWbFwUl/texv3jpr87qx276/u0Xfro9+0f66fKo
2qevRvobHERfk4CxwKcB+lH+MPEa+8wPUBiEKETEJ1/H/uKgP53Ojz3z62svXHKZ/CNdcvU0/bQ/
Nt1QqP7vdA15zThlviA0wAFHQfiitG2lL2SEhT4PX1S3vzylH7vnxesv3HS1/8e66YPuq68B/Dck
D34tiMAE7I8p5VS8rG70NcMIBZxiLAKBffF17C/Js5n5z2b03x305c2Xvvnwj/TNw1Pf6NZ+Nc/f
4JrgNQophn8IFpQL/tI1+DVjmAnGCXQmLhD7OvYX1/yFCf3YM7+9+MIxD2//kY5589S2w1KPx1Yd
v1rob/AOes0FYyIUAuoaO5Wv71Bb+Br8wkUYIorC34O3vzqrH7vo+7df+OnN//1H+mkrJYenfnha
/lYv+UQgQGWIEcGC3+VQ8JqFnAK0DgkOMOC4r2P/p7z9+Zx+7KNv1/PCQ1eHf6SHLo/DcHws3PBk
LZCAv40A4dd+iAmlDIA0pQGDHvNdKvmvGSQRIoQyAYetR30Z+yuA+4vT+rGfXqzqhasu/xnJ9Md0
7VtPfffk/5KqEvGaInCUH3ACcBuLF3hOiNfI5wRh4Ycb3Ns8+a2nXrDI/z6tH3vqxevfreT/E0X9
7/T1N4ofH+0xOWkD3zDYP757Wi6IFi9e/aMM+2K7s8+/vMKIBkBpftMcto98Z/UXAf67N5+Og/3l
lQc8SWDGoQYGIaNsUxump9OdkIDbGSPhN1Wy1b0tQLzArznnYcgZZxS4MYECOmh3uuW/xoQLAd2P
MAH8i/0mzrzR9ZLr9jej/Pr7p9Y1b7Rq7fDLK4is7stT2xppwLkfIhESEEoC7iOB4f7j8Rb0H3jY
/z+CLMyrOq/bo3660gGKsz6QYdGR1OM6k4qjSX5jpL844gZ9CQKGgn3yYsS6Ddpgnf1uPyVDRka5
8u4es4spGCc5ZYWL/ng4QGu/WyAMJAiwJBwA4P5+gbn1srXvqm7v12kA5THywuWhW6sjM+vD/3oo
wCYY6DIMiGC074caw9oXul+7/TJUz1VdPWeeelYk4VX+6Y9H2ib9wmswEuWBH0IM/M5rlhXrUNC5
22feJBLBjZFDweqomtWf2W+j8b8bC6hmwENBAXD5m4G/iZC8Q02gC1gVqXocjQQ9cNPHHWfnM3KV
ZAaNUvMzv7eV1ItJwzG8IrlJVtxe/vGqocr9fibAlzB40/8COr6dSTg23LNi6vZCeCmqskvmltsl
nx98b3mYu/l2CMKnTOV/EkGnFb60NpBpBpAGeIGgLyzg+VST0NcQQl51ViJ7hsNRlnq6NXa+7Z2n
ZJtflO36UHKTSe2pYx/0abdMkD9BT+TM2duSVUADfis2b76M/23m/nhaAaEEwDAINS9Tl/Xa4bpo
u70NBiPzmu5ZCKNZMlUScfvZoUvXG7hQZnWEmI2srm+WqjGyc+Mdp4tcVpdOLAd4/0cT+6GbaIih
PIUIQXn5PmBWV7pF6abbe870+27EOu7dGC/LBAkeQEaENgqx/dBhbf6ktvj+j0Lkm7G3+98EKxCH
YPRc3e1nSq4nVJbS5RWR+exJ3M8PMxJginLeT4x9Uuq+7TP7J9Hyg3oDJfs/q39R3qaqKfTYwgzW
AlcSh/MDm8vjqr06KqEk/LGpQZL/vbWBwXIOcRmKAOPwRXDqrKG80V2z16hLQxOeM109T2it5IJG
Pw1MszNtPNbq3tmMyqXwbFTz6Zb2ZG/FWEmHlnMO7yz1ci4yiB3iicM8ibQb0EOXq0hU41WO3G1A
3K0u05nqdzMUOKHKI/MHIodxfljrVLT6ost3jjVNtGr4zva8Y0slRxLhSe/0Qu6WJYs6jddo4Bd5
u54bBgFaVfAQtQ5J4q7atTcSFGGIFRrpbBxOCTWP020QsLMRs6jwi33tq0YWZIzAo+1lWKgm8gJf
x2Y5TsP8Rpkg8nJyyPR8pgXMsUUsWqv2jQ3nSaKi9aKmcUSyojprTL5fMpIO5fpgDdoHw+fKlcc6
ROcVyUk0ilQFlZXdNCZYlM8NrZ81Lp+3eMICQthvYQ2qvSF0eORbKd4sg6oJRwUe0m7qZDjjRy8c
M4nG4pkVaofD8HIYhkxOsC5/ZvtpHt/W1iWUDnEP9jwVD8vm86K3Rnp950Xz0hx9GDPowUAYKt4k
evjAstz6ioOz3XHyYHF8dTEurXSjLWQWQhxMVthI+3MlmxDcouc2WRp9cBkUsM38GS2fp6pKsPbe
UpuDJXXz3DdDKvri2Yb5JSZhIYOl8aKyQOfZ2D2KwspghqV6E5QeuqKHUY1XpXiaeUck5dNDMUGf
wOskrYC62ImDKfzrTrtJZgHMJOPrzUw4BOz6IPh4K8S6bxp6XlQjvC8GkdxUg4bu0uVHQcEEbWbi
Vn0243weoPq4DdGu020xbYGmXLqNpxbzcShzKbz6SFZ0TjdLAfi5mjt2FVbowZvq2Au850pXR79s
jmNIa0nmB2OWSY6F5Dq/IRpPcun925L3cYAsxFRObZTl7qZqNHycDE20CIjPYMiapNYXY4u0FLw4
D1ht4gzgxQozitrCpqZTXjSY8lhWhRdBd7xm+fjEFQyHCTirZ2LZmepKPzV+4r+hoc0i27ID5NXF
afZhBeub/fF267ulGbRUR9xxuRpznBrIkSW4EDaso9mv2yjARNYFethCedqaM9D3K8/5vVyzZl/6
4BsFQHUXmDzC2fhA+rJLB9ghPKvK5d5XbX8RzDA3VxcODnLDMCzru9SgbIb4IFjmpLw+haOh+XO5
Je7aQBz0Xv2e4PwmtC2OshCGPpUSrurnic0PooZc0XsotzIfpgdSQJ/yPajFJjM89tYlzXVWSiaK
ox0BRwSVhuQU1W5Z7oYVMOGpbI1bqy8cjqYZQqjLg2ieayZLuzz4m6MinaPHbJWjCm/QOtfShe42
clXxHOrOyBpB6bN9noRddR/21dEzwd4o+5Gqw7hADowQLn5eHbnXWYnQvGMOWpaYAALP3G/kZDyy
Oz0g3C43EyRZOD7wrWZaD6Y1M5g6ITCUD6Nk0Ifi3iNXAzdexJfzebEX3Sp1uMo+DIJ07edz1Csv
rkR2iRzYRqye201oT8WYzH2I45aoOZ1qqNueyFVK+/mSU6fjZcYPrN6yi+kOPmQks26JaAeZPvdF
E/W+zWRnfZEom8XaZHWcXa40pxeVB4bpOB8TO0LAB9Ohw0MboWI6EGLOQgtVdOi2NqnnTHoIhmXI
ewu5pXYl89LF83iE7XBpFm+QvGibKO+Cu2JkSnpzJ5K6K+/nfGwkbYMmETUYrvZRUnqQV3UBtmLT
8oDqicengDyBF+bK560doKZ+pjnbewhMAyXO2tbIxaLPJkN3ZdFGI/JvpkycL65M62nUcca4jb64
aLHvnGh2c5MfTsHvmknH/ECcx6WnIKDasj36frUkfq1rOSxVupipjUAnlsU86kQv7sllo0ioZnem
FcvZlJVnsAvTpqpZkayXjsnZZUNK8v7eOLBIPqiUm+bCCi+Me+N/Ym6gcbZWSPqisvFgsYlYaXCM
Joh5kns7w7QCB7oxothLeNhAUnYrjrqZFbIn+SGcIH2oB3kYZDYe85pIV6467nQX42Xdl6s/Q3gO
S2x8buXaijPVtkQW1sxxExYRJDKOeqYv244VER8BtvPlyXB7hR3UrQV6pszGJ4aaNmkMGGmsnOxq
UkSOz11KKAw2QjE3JTGSqzGhlbFffKdryKFxtc9t8DD07nqeIVxs04cx7IYcq2LhcYWUJ8fVxLjn
dVTU4PYw9I/w4hUOBrVrw2kfBLknT5gowPOjKCmQJFGKePGYFBWxUVevpdS0yCUtgF8UE4mDxnqR
27Bs5ooyck8zauZo4rCdD4sqA33bWvbQzpACRebu1na6wVstp+xqRVRFdIAUzSfyPmytlacSRF2j
ZOk3SdFlkMs4UtDbuoE+zCF/qmdIW8LRfTiFKF7bkkqydijSSoxRPcEZeKWOLZ8vDNCDNOiaAxBN
G5Mgx1GVT6l17iLnmMY2b99a1qkkzKyLWdn0SQB9MV4XpvdrfjGE2IcMB2DgIJfj1sz0wrWqkO0d
tny8aw2D2q6HS7zyx6WZbvyQT5/KnEdFxQ55vrCPeeJQmA7Wm96WOrgYR9LtgXyruJzUez6M6LwR
5XThcXpeqTrbEV2eYzPuTNapy9zMKBZMdZHFeRAHdbFEpNCPSiwGWk1Z7VovQcp/EDkU6UWJCM/1
vYJWGiOVhvNqzhbTQxNE9Q6Z1SQQ0ErauVW7oeFamt5DMVNmiRe8JLpiZ31BLtGA79qJIRl+PHHy
AMJ+aqvEunDHh8xP82buo5pctIpByaT4DZ37Nva1vq6YVTvq8X1XdLFYxjYp6qJJ1MIffLXoM1t1
sansGuWNe4P8ER4OjWzwkJ8HjTk3gTOpY34NZXMZk1bwXJbGfvYmduXa0kUztqkiSuzmrjkH4dRA
UlS3ooYoah74lDey2yBDP0NHrdDgRV3m1bLQLGmykcc+wDwaPtoZ2gdyk5/aqXJRra974l9kYdBG
yut15Jcx4oC3xjl4H3jeKpccKrmXVwC0ciAmhlhIfQb5v4hgPzYVl7MudiGBAYWhQq4ddZGqoAWM
2M1yUryNyhDickmo6AeIL8F34aI6iZSL875CsbN6As5HG9mXiO6LuU+ncDEXhT8c9JI76Ehz6pZh
3HHRX1fTWEVUd0vc2iD2bRUmQ7hQwLHjh0FBpq3rNMp67AFG8Tpuuap2Arf7kHcoDsOi309jmQyo
iswwdZHIe7WbHN1rL8uiHjpMbItsiVmHAul5vlQ5ID/fyz6NQwXhBEaNgm10Zu3OUqMSyopn0ocH
yMF6d+p0LdFAMgMVWTb4UTbnwdnar9UuB50AypnYZW17i02Ad2tTHBTPyd4JEhfQFXazl8f5jItL
wZwkWX5fZ6ZJl3H4VBsvS5e8KeIGVx91bUVC6veGtZ5EeEwrfwBQZFW+C7xccsve8rBSKbA3lmZq
vGTLcC94qaOlGY0sVKHjMJtjhAEbrI7v+ZwDQGwBpvuORK0PQbBukBL2u8bd6MQ5BfogufAfWlxl
ki8A0z2AyVQRqN9dfdwa5hd1ya4y11GlAP+UGsIHcj2QKHg3UnxYNM4BQoOfqnAdpb9659oz0N8x
4CyGgJnxVqKpgiKoCrE7wdaqIEneLTCz4V1tF+iwwGbK0XZp30xvZsGGCIVi5/kzzJSAgyZPVoDx
opNNVsLf6la/gZr0TvP86gR1bQk0k2M7y0GVD5gDeKtye+vLXuMnu8C6e2SOotttSFln+KGtkQxw
l0esReNOob6VyvtAoXZAEczknOVtshK63/4VGBZd9eXz2rsMQHzZJnmdXXt1waVo4VI3aR43xqUY
oF3fAtBoaBX7hqu9FxPe9xcFTwIgpmmn+qgM5iIaAwffB3TBHfC7JvOSrGggcYdWer5Jag/cWG5k
y21ai9usUPCex06F99lQflo1eqBl70U5qY44APtP6wCME3gayMXlwYDHbFmXsgZGssMtGFfXb8Jx
vlpDetdwdiVAOeyCDsqSTUZurnS2pRhdHyj06ahTJtZlN0SLM3d0oyHTXL3tUGv2nqnr1OfDGrNB
n5OxvfDCoElzw+ckU+2HJbiiGPhlSKVfZcD1gK7kHKgp2SzrVXD4AqlsexOWUOdaIF+LQYvshiwS
KzTUjZYyKz5iu/cCBT4N/C8Rmruhkr1Yz8umjnmXzbJvwNfbtB1nndR+Ho0+sIUR1XtM0DWbiI5h
D7iOmFqQxCy8U7XYVx10ar8Zb0kjJtkU/j4n0y2ZlnPVAzh2IRgekD0QtLRR6tkTYk5KN95WBnBP
U+eHvNGXTDtgpsN4vmL8cPKBU02WkHbdF26bw1ZXW71xi40fo2J5F7Dl6BqnZderJeGZ8GVIll6e
WDKp1/0celeIAtRiCMTqFfLQH2sIrm0SeNCx2Khty5rLDUyBnQCIb2S1K9dzR+/DUvTS08uhxfiC
GciJgS43xmsvwnA5ryt7jUGGWPz14C3wZtXCE9unN0GR5uOnSd8HrI86t9RxCTHSkuKNAEmPYLbX
jn/sRqpk588X/gpgdwnVkWwUfcoBkmXvTvLbafL+1nO6AOIVNyBUlNCkfIWfLWvjScObXtWAzivc
GSjPG9/Vch0g4CvFrrIGtBR/PueNfzP7ioEEM1+SEjqmR6+9sYnB8vdbwXBt975GUYWg2oSzz6Qi
PQQpmMczQHR4PVwA0AAQDFzPcUBW5u6kJpscKl1PP3qcgXiGgV5WwXK+9WVsc2nX9qkfIac3Uj9q
gOzOh92KUIuLIKDQAWwR2Uwv0uQ8AYghEgtMGCIY3siJSpp856M5OmXtuqljBtWfO2tpdIp5Tsx5
9yXRUj4fWjd8rGYgIFuh7d61avzcm/F2KyWbV4vV7Zmmx7kujqX/WLZVlA+siuq6hTLjXS8EXyKh
l3hVsOxNghgHyJ58nm9p+LZyxaPx07UFVaVnOIeufpY5KBnrZpMxu5nX+f22TOZtmjIUxc6yK8pB
zAw98P0mXLoBA5vEWyO5x5AdhoFQMQVBlcwNdK7T3gCxJpSZnWEVGTGR568Pxhue566+NUKn6zTH
ooD0nwGoy7xoz2ajvWjbwCj9JZf9gA8lAtFrbN8vrFyjoAbesQk+NC+elwBUDTbBrIvBO4Otnp0P
IDHcQvt0UPCHsL6SqtFOGqQGiZZiz2p2Nc8QgoOBDSbYsEjYNL8JWb0kJ2GheFvTpZMZ5kNkJgi8
XAEBt6IZog4C3F9SjesaYH3x7JzvAzIDnb0C1aOp+y+KBxHNse3d1VjjdATthNGNW0NU4rnZDR7b
qQHEufkkn5U7JUglC55dTraDhUNVF2CcEsMyYYlzP30C8TAx/ZTULmuk8wH4NX7z3o7+5SkfbBaA
C3tg9goI1eLxmDXsM10tcCGzwMiVTfM5zil/Rxjec7tCiJ/SbwjfkmwEbrhR7UwZOZP64IPGOGrg
bMtc1xGGgN7oPfT70eTPLIfCTes1cRPQIsars35yt/U075YOk8QD8V8ufpBHxTjLbkPUFFTYE9PK
N6msnqEytF0trW14zLf+CBsu8qSRNh50XQWiW0svJg/YallANWA5oLdWBNHY5SBOFeAQWkNImhVD
IQXlrikWQDjdHuipF2X+pEEZLHbGjcBBhRXSLOpuYEbsyrOJFG3aV7UX+0CQEdE3BQM02drRk9lw
hUv4toHyOpb3NteDHAcoMTWtP7f96F+duGe7skSVvIjrAUxkw+a+t8vFVE7QpTLnRbVt/Ag2XI+h
3wBiuMpJcBXMzfNJpfE8WHRfq9h0DLA/4nxHFYpoAa2tBWny1OwAKlaJMRC2FKixoFgkZQnwdAk/
hwUfwJ1gxyYLIGhK/sQroLx940GnLEh0UrK7DtTonoDtKlGD7AQYWbbijS6bMN1KybLtBXQC9pAK
v30XzOzZzQEIiEKD1B3GihTPZfemWaCFlCsoSqt+P6z2uvOAeme6AhJVUyio0N5IvngSSN75iTO3
BKL61NsqBjDahuzJDN4kN7F63aQpTCExW1KFgBivQWWQsFndSDa4uM9F6g0ASDAtoWe55tiPCkSD
tPC4uzzl8uBh4Kjden1Cc6eFAvRa4o4GUJuB5IEy24jN6cTCRwNvN+ZY3eS+uR1490nABuOuNpf+
gj5kFOB2B5sAWV5/DFXHY1KQDCQH/4smwAJA15M5gz/mr6Mt6ufq1lQVgC9eQ1aadje0ywcvA6zS
hepqFTdTmPvggMyekxp4qGW4PbjLAXoplNIe71XbHEpY2iGYzxDvgBT0y+eMhO+8oO1SoOc7mjso
bmJxkRHN+87YQ941ad3DsjiEFm3rtGnHqDCPXe2xtKDX2ajPPNR9WHMeRksIXDezw8UQ5N1ZW4We
hHI5xnSpzyes8OWMRne3oOa+qUbpNXTeVzXodZ5IVzrfdqLwkhDku0ghr5Nu6WjktNc/DGu6zvSg
s4HHeiXmwid1eZ3p4LwB7cHN2KVoNFdjVU/Sq8curfDIU+Y4Sbrc0ciYekhrH2BD6ebrQRF0gdtW
FmOxpojDzlyXZeM+L6e3vSPsrFFDNAHcBnp0bCcSxBm/p0GV0maQ4dB5H60Wm0aal/u14yLpUPWu
MVWwmxytLvxswruAtm/aied+xCm6ZcbZtMWzPTQDs4dqO9CVmrNyLGWO5/BwOmQ+nLkPuh39A8QC
+/VAdXiw5QLwHwkPhI6WhOm4dDe1qdnhdGC1YwcKmTPluT4b8g4+X7fXtWJ5soxeUnECi/En0A8K
0ItZAZXGN7kFhRCqXVYJHDONhnSo68cBefjgGvSh7WBDoS6VnzRFW0g9+c3hdFBV9kH0i0gwMfQw
8+Lbw+la2QHyKEz1Cf7vD7nUejkDawYH20zB4XT24icpHNnltD8obdrzIHBzwkQHSmpbosN/Dt2U
1yAodmUymgwkHDOr4axsewAGXUK90e2JV2nIfjOZRoZQBYi6qHJy10wFTyfh0pnMc4IKddHYBR9O
B1dU5NAPW16B4J/850aZwUB1BYqG7xH/cDqA3I+/nLmqIo1ctzvhtGmTCAeQrcq8ER6Czb0O3Q6V
j261KfO0akEaLDJ2VrRteFFhdU9Yby4Ca3sgjqrZezXKD+ClW23zqJlRd4dYfwG35yvmuyIiVV2e
iXp0IES2KmJctBFve3JDfQ/fqAJ1CSsLlQjRtrH16ZAGgAig6CxigM1fbiGgtp8gtJs3E4xx+jVP
1E9A4ffiSbR85xxMJ5+W7nYlTXe7BEEI0jjoFKdrIdAwKxx7E3jXc4X0zWquQBRb0nBVHwKk62sV
z0ANGQEJaAR1fw2qABoR2HlwHgP5ezulbfHZn3OcsHAgQAF8cjidjZsXvrmG2JCOefCeT2sRVVPm
4gmHHzwU2nQWlTkP2jA/b6ichZoP43Y4nc1jcQfC2SqHDjp4OKD5kLP6uYSN9qSCbcPD6dLpgCrx
68+ut6UM665OoOjVZxj2GTBokgdafIQJ3lQjRDnWtoOOH1wtN8JmI+w2wYEvyyO0o0CycM3uFrzT
U39HPSuzXi97HpAEb1kcbtlpF4F2LigvTDPkEH5Zwr3WpqC4X9DFhys4x4D/KUrsfBW6vjqnBORw
0os+UlBq4sJs+LRPFuvnh35L8UH1Hkh3XRBNCvlngbppVOkOY8U4ipqt2tRbodGZ3qnKiR0JTOlH
eZUVcYcLJhFwyl0946uClwlsJeJ9ZtMurHiakeEcnmUA6EYhq+1TDFGalg2/dqUtzqvaXyO1zhpU
cA8BiGgfjYGxl13gEEwh6N1Bb5PJcQUY43SKeDDKgedlAlLEHLWZCg7hioLD6ex0yIL+15+Kdjht
BIfO6c6WsFt2dWvGQ8ECGGQqfj07XaP5/ZRn6xmoxwL63AzyeKHWFkJAaYkzbhPs0UAO/vBx8cGs
KoQWvYxvukK9rwszRGTu46Lrl72f23tcheD5WRbLgpIKghmEhym/yBQ/YEfmiNmsu+gEBZGO5WcB
UJ62LqtYdehTxoNdGZ4PJdoXev4oTPewUvuumgEx+gvZT4BLgfni8rBggPD5Qu5pOcH+nOpLqCTF
NWpBwxg8D3SP4CPCPegE4/DZACi3fe12dY675Jl0nlQ+hZydOD0rFswSP4Q/I/P/H3Vnthw3jnXr
J2IHOAHkzbngkLNkDWlZ9g1Dsi2QBMEBIAGST/8vpquHququPv+5OxFdCqdSUmZyAPZe61u7RRZR
1medKFQSM/1ah/Jd0+gdjUkSukwn4cTf56F4WwKVzkw/tTzEsr6G8EPmHXfK4/YBiGf3qMsi3BJz
6e9XgVqvXlDcTlGPwshj17G0GUSWtDd8V2FBVvWMtW2IU9dn902J1U7Rb1Xjf1Ur/ohay49oxjZn
pyqtSkiNbii/8J538DSiqxfzd5+N737rQvd6rASdk4ajggtDtN+rVK/WEZfVP62DBzPOg99LpdqF
a4tmdhm9i+yqV6xCd4KU6ui4sKfY0O+9aXrwhl6m0Twth7UZE6mcIPdNoaEPY4NbuyqFF2cS9Ti3
oc1RzarLSqGAw4r6qD0z/1J5AmfK2o6ct49Rbo1AU18NUzIBkIiKurn5dUU8emndHWShHl1ijhND
+3RT9OqYf2xS0HxrqAgUlki26egVJ8cImdahfVExaZOQ9EkN3IKMBRpIPw3R6HgO+pagHiCQMPUg
Bpv7VLxVMXn2USxCO0TPHMkxrVibRAa6QHiTkIASTJCFmqp584bISQ7BEAMY/yu0acuM/h5Biwm6
AmBNQN+R7gn+wBfpdeXBpCFf+V14aBf0Kr1LytxdVTLDI2G9fEelV6CNabCdSegTm9QUw1CbPJnE
ZR3mGlU3BIrKTeTWGdwOJYfMGERZ49sj99DOouTZZGF9P9cULnOI5nIq0G/3IYiR5YP6uAimGjUh
YYeqC/vEQu3pauru9PCVRt7bHNZO6thNOmh2K5ZrlPx1JifnQoGx/PVBcTeg63d83HZQwJACTg43
/vEP3CPjHl8iSCIHJd2XCTiREmhZt7dUzdGdy86rPfBYZfM8Rdlfv7b3b17bJdTDi7pbZoSAk/1X
4EsHJpSQ+ptDvznesoBihBdyy5cQMoPjhfedtzxR0CLL7L4grHWMrT1tXRhs0aci5gtacZKgjoCl
PN6pJj7OASSfv36X9E9QWExcwsIYeVaQ9jANf/8uWzW3IqACl02Ed1mOaBAjrW2CZRjN5LLJa60r
0p5OccJjcFVAxgYrPjaYo6pwFmULd2Rqol2HjhiswZu/9XJRA/qTde1breRbA6kQ18Qu8FCU8br8
1ukKxe3DDUHkZOvbNzlwHIL74bVeGEtmjqbwxmmgTfiAEUwz1pSJZ9DIe6Lp9zU2XL7OZ7G9y8gv
vVQbWHGzau7mOjjYJWxSGZqnRZY/q9Z++hrT5mlr2KDzvFFlnxqlTRrMX7xNZKzocAxb1LflW7fC
elT+8tzMJSKFf3WLuv6f4FgcbERPkGpASIj+CVjt56pzIkgfh4qKMI1JkINRRfe78SZqW8kCvVFR
sj9CozGJaBeZ1Q317l0T7OhMOmwHUJQjVqEybnp9BpRuD9o4+2bbuRcLPWeVDZOnkkM/UbF5CgoY
wL3bXVYdy50h64dcHYPFbex2dFh2N7GZl1AsfF6msnzj2gEI50KvrnDqNkOxrSCS1RZrv0KPQsCo
JL5E1eVBEPVr79AzqG+QGToFuY1iC83r8cGWMKaEa6tEds0rW9ERw9N+k14PUGid0n7ByqMK9q0Z
GarC7fmywZeb3zo5P5va9jtoDo479nndjt9lfJPrpfRQKfh5Y6t9Sdq3yYPcKH2yj8oRlheRecsN
SWufbdZIxXe2JZ9R6EGvguITQJoTnro4ELnAMOBTh/H4dNPae6e7D5g4lr3zs/Nw+bQtd7OuCL+6
BuVeEawwRgQaLAKuTHMNkKXrklbbvSM9mgz10O9gl9SJU/fH/s3z6+VkgU2loglfQjwJh+DEO/se
2FKhONsVwXTn9+zYb5AArWA1qJgefOV84xL3+fZWhyPvyp+OnZ8m0ZlPC22ixJ0IYIBpfvGLELDG
0MPjGtWp6fTn/3K5/psdxQ096hIkAULkEf+wgPEJjEngaHHwt4+87QYM30MNF/9wxnPLajStJdQl
mM9J0W3m3WaYdRtJF2wY1TA2/4Xf/TPxjegqNokQ95EHRdL7w1saF2ppX7nVoQn5117WDyifj5v0
3dgFLOJyLDbirLPmZUOvZNS8FWT44kfhfzk2/2Zx92Pw1h4iEgGQyD+i51M1mYK2XXUYy7kHeYO7
akpIrfsUZMuYghT/rtCqmTX8ThX8Fw7kXG/6Bt34MfAUqV7WNpNFdCVTdfWCcsmhhBVp1c//hcSN
/4TJx9sQg42Qj13XD/7I4aLADmCD2/Iwi7rIHLjoICsyYnSdRoW3mdlo69eGsjzEaTu35Fx6hT0x
Eqjcwy9CoL4sorL5VEUyBz/BUm9ToyrZYOkNqgw6q58QDTCvm+KXRMOSzImVaB7bzkl6E+ujFfNn
udRdRlZQsZ5UHBJHkMVOGL/E6IU88uSpZ0c0Kr9p4typsPuo9eAJP4PSF+fGQlhrvvThKA7N0E55
P1XlDrdFOoKs/Eylt6Myvqflst7FZk2qBb6F49uMBz091Qq3jT/0beq57rqrYueL6nWTVcB3cQWT
16UBrOv4h01zvKGiLTS1KHauJQxcgj2i9MoHQ7Egr237HJdgo7gvl0z6zjEm4UM78Y+wI9Oe+oei
btSh0xEE7W6udwNVZUrX4TLEff/ULC2aU4HVSi7jfFBV9XO0Vfer+vgtjPQbg/8rTfMdmIGqePnb
tJN/PPw/107if7f5G//85jYs5Z+P7v4+ZeUvf2r/s9tyd/qPP7S9m3/8LbyZ397dFkf63YM/ZaP+
Q/rp19CW//Dk/100irEYa8I/duU/JaP+zQSVLW3069d+i0Ux929buNqliCgiBxRtq9A/c1EMyVEk
E9mWcIm3uNs/c1Fot9FPUX9bEfyt1vx7Lor8DRo5DSME6ZjrAY743+SibkHj31e1zAezBvEKCamQ
kNvi9C9RAtAGyIh3lTmoBm3tWPB04lCuKlalJZi7NBzH1xEssfKfIoI2r+/WMW+nOU5FTXXSRk0A
akFHKSCLL30XfCJjdI1MJKBj9sXZDB/z1FxMFEBahaNXdVgDSHUEpdomrDYxzP1gTmIe4yGa+6Tp
gn27RFXaAslN2vVzFU81zJ713i2dxx7EQNr77E3PgFtj77FxfVgs3N4FDpo29kDysLBjBqoCAiib
E+7iTSopL9ZC9XBhYbawvzqRkfkz6Ow69argMV6eTBNflQ0B6bbXWy+o6D0N6/fJxp80Le+sKi7z
2J4EUffCXU3ajxLdykShBRr1upb9tSy6J1MMX3Wj9guZwQOBgpMFewngYE9MfBiFN09DWMYd7G4O
sWDucJgZ9R5pH55V6EK1xnESHO+ZM/UadHmPdcmX3r4odF7b9n6MVY6BRvsIfoSJ69fGFHvuop8W
qyYZb3/4Q50rFR0rgsNW6K5OfPxKXaB7MnGR8xGLDWsEes3lzgMlm1CKsxoIyFkB/EU5pGTAe4DI
jmW4bg4kaLHhAA0uaQQhPDrCyflWsPF7ofB7lVl7tMyAvq08w34IASV6egMHcKU42Onp+s2la1YH
wKtFCeAFasmRDrRKjQgeV9asOJ0o+/CH66CIktvZLrTzI+i/APjTG7A55sMcfaknb0l0PUcZBw2g
+XAKh9mksk4rCuFb9G14DO2QWViCOtAygf0JzA1Cvr+2OTI6OvN7ihO/8s9CxzNSA+jT4q790P4K
nrduD13F76tNB8V/+zHSIQAM0FZjx74oAIrnuOHfiwYtyqjia81gIFT8joMc0M2csnKrZ5DFSUtZ
r7tgjFBfseXBMe53T313ReU8ebrI3CYuEz6BHPPLbIhpkYbFKViJ2CnGqgNESxuh4PFhsmeo+Y6m
YMfStOntZikAgQDiMPk6uEG6ko+eGZJBfHqUBveMIvF1mPmXam3uRYXz6+IAkfDRVKhOPZc/DmNb
7cQCTjqA11HDYxqjfsfroEyXop+PXvN9NijZ+9ZktPWeYkjUCX8idgI7Apve66RNowGaVhP/LMYc
iZSnzZF1Wwh4AQFGD31nRRwo4YM4NuXMExmG9/MiPiDr+tCXcFSU130J7aFsOqQkBO4E8sWl3QnX
6JwY12mzAIC+xSXCTNdDXsC54i38rtXyVxdbYTZ21OAy1XGqNAQkCAKJc5QclJdpcIs5uOnSiOyh
D10QvZxBZVxZDA3O9OLAAZ6s4l0M0LEimXoDjvWEd0Fc/hEoN5vsLlirK7TPnSvch6gs+/RGLyvT
QzWUKhGdPA4BolalLM6jz0QOKBMOclS/QzvQCdbGCBB98dqqcjlMOIUYLXT1lA85B8QVnmlRJVRx
Ug2zyBqK9RRCR5XyEu5uaJt8E/eYwOtShq4Ia+2+1MslwuopKApl2z+0PVYgqSOgHdKqpBfy3cFC
ltbjcJQ9FpaWyTjtyrTxdAiLbAB1RCDikJLuVOM+wThDTosP00Hquk+93kK/U4tJY2+7Zyd00UuF
QEmNxRKd2JvXxR9gYUUK9zTTJQDsYliSTvTFvgucc6SdeT9y/0GU6wlAipf7Az5QXL5osG65YPBs
FutfKlu3+DydzgY9lUk8BjtVVy02A3Hn40AkoYzueHEm1VihUPSfnWDM59EJ0mgNksAVKPlq8eF3
skhLp+12pgzvbx6+CUKdthyGq4EDA3E3+kw2ADNywYlDh7ojUqGdmOoOqviks5ihcibShgnakJyj
+dvbYkTSQpjcuC0BKx51gEziB+Aeu8D/5EicCqdoL15ffBceSzkQe6jK9Y+pbZ59i7Mlwlc7WnhG
TKy7rlfxflj6915A/mt1eDXYfFPql7j1mggNhgeTJsDlsq0lXHuPixJ1xtFBQpx4Jmr6MU/zZ0XB
q0TjiMWC8gcmftyu8jk+jKKEb64MTOC9RReIq2EBFsW6TwB6d5FEwyvaQB0HP5qT24YVljglUKFx
Rh2AAEYPbVLEyJbVYfXum/4TghtvbGo/ykDu6xU25YDLwHWbH8TBvSj9MU65J/cy8MK8MsGx0ORW
1YaInJSwE+IBMmixD+dwP2C1B6dwdHi1AHEBmm7ZnbUkLWqCFRgwSDqUBXqAMEdxhH1qJT8R3XyJ
Vl6hdV8eYVAtQP6Hr9W0MmRgsBk5rsBSPkMBZnTT041S2Jyae0fH+FwtZGyAfG/APFGMk5MLg6Ca
sU/C9+sJ+RkGgOmjYv42FoBFRQDdEonQIAgMiI9LaL+WiI1mSoU6KdwBPuo8ktRSLDYxOO54Q/EZ
Yho7V7cHLiuSKatTp0FuEJ78mE89Fh/LnKs2G/YC/DYpJu/RTCodpnnerdsCSbfog9HYiYlPmrQx
MDhBmPB6RU4BH8JOLtbk0vL9gnavce8RSAPoR8adZJvYtW2HuHn8pEPF0WzVVw3meXbcvamwIDrc
ua7L+DqLVZzmbgrSFsKECoNH4sDAgIC7iyfslGDSQxjcqN9QNjhh/+xYfJYyvvO1C8Soawi8KNJe
tJvzzinvt9Kl6r07prWTwIS5X1byertyAM116GtUGjnLCWlDmrPZ6cAONfEuaKnIxRoohKb0J2uK
L1UtD00QgnS6h8oqcCGBEA9nNmZzWTx4qy2zsWY4/6RAWqEv826EbIlhcJF1h1MV0ltA622cwjA3
pszLCVkqlnQDe5EdSiXhoMyicPHjImEdrAnam3o3usETDnl78CgdzyOsrl9fhqUbz8oa2CaQoVEy
5XQ28cl39T4ae/eACvxrOVDsEhz5Fi1vxbE9KRW78LeaLw2BK+Lo7a89hSV7A7FU76K+h/5dqNU9
cY0vvx4TDYihNTVNvH4tTiWsVKA2czb55DmKJn3qF1+f3FaCTWe7cXPQqsk1SBHDZQs3v63frLbb
w9uXaXtiA7f1dKLBO6yh8cQcpk90GLuULnZNp8qDiwc7D7RnuLsBCXGkYpg5cP0c2H+gWqKdM+4g
GnuHlVX5rIN7d3MMSUXDpNxcxOBmKNabtyg94CjBCO+33d7LjXXAPM7PoYqb3XB7YhC45MbNs7yh
B+vmYy5TXm2+JiRWjjsJLl6l4yTa7M+yvV/ESPJ2M0bpZpEyiuTYBFRVAVBH0Q4ftRibCxw1sr/h
EtFmtMawXWETzgcKI1ahfy7Cn3RuCyToQIXp2HzvOmUuJSPmsj42Jb3vB6BvfhOFJ7zKZ1p+6yMO
9gI2cMVNc2zAKAN8wwUTbX7yaAoHVMf2T7HZyhg48HF7VPUNKOjNfHbX+rmW1J7qzXK+/athCILB
smaw6M51B7Jihp/dOoipDrhYwTvSV8i4etdtlri9ueEEBB+wpb8/9m62OfzzG6JAqpnJ5Nc/N6N9
YQK1Y4HXAT64MQrFZrmX8VlaCOAocwTWu2jdd9K7DJ1xzqoO+hMP2/T2yLPVZhty2qZzZPrMRI1z
vn3R2w//emj7F78qih3tRgbpBEpOJ0d7Bjjs5h7cB+i11JwlATRVMhQBoq3shRYlS3wPDuyi+D0C
ZOHZjWLAG7Klv/4F15dlwehAxdu+d/uRaShOrV5PLq2D/PYdDAMJz7SF5cNUD3pVkzuI4neFrc1P
wEjnfibqq1BFm4G4ofe2AKUIfNec7WDpHfJ6l3pFFb4G9rkatXM/ImfbWm9OBt8254FN7tXRbZx5
HeX728NwLe99WfY5s6jNeku8a1PV7kWvcwkDqkGuwZX9rokjno2IJHzrVwCsMxOPIvREqsT8VU5M
vvRTHOawqkHCtSHKc6TR/AlHu2T0+i/6wm9CzO+GIfzJB4IWQDGwDUMaCCAQ/w+x+yZ2vDXo1HQY
pW73XpFvvWq1wXl+G10nharGJ2hLzAI+scLu9f/y+oEbEQ+MAfPJHxyeeAm8JR776aDZ/DkEIaIY
ikk0e34lfqDY9/SGo9DyVLjr/q9fe5Njf2e/bR+dUZd68MAIxqb93lxC8Q8Mf22nQ7OgT9waRj3F
17lZ3IQHS7oG5EBK/dtUjP+V9vX/kWQFs9bF7Jv/rFn961ixfxnl8+vX/q5Z+X+LcYIxaCHY5mVh
cM8/NavwbyGCYAHsT+/X0M2/K1bu33zqYpIP9PQ/KFZ+tE0Ggs6FZ0jgQgv73yhWrscgfv3uSoAE
CpcRCnQU4UlcjL+/EtCytdKHW3zQ8wyra3Hu1hFgEo+RaamVsqnmVZCAnoJwIMuroyiU6krKk5Zj
NoliuG5lNmQuktWwYS7wXfq0sohLCtVohKDRWNYNZkDouUfmY6LfAjkX56Ii96qbw527gFcA3Xl0
iRZHtPD93n+Fp6XOsQaV38kAfrScKiTJjNwFSOtmvrfUW0ezPA9vhVu/q6irH/WG4Aaa3bdytRcM
7kR4fEDX4aCSbrQpUHbEfQp1xUHu3wn2GPjxECHVeR+Z5hr1690SGr1XM9dHjjbBIeQFLoOTlwLF
ZDkvH0i6I1ibTsOEO7OfUfI6gPS2MSoD4r17PstPpoqL69QG3x1bfxt8yOcdicwDwpAZ6FBEDBuD
NA+I1WkRJyZAAhCvqtM7TLPE1uXXd8j/VJkmUFci3UGGmTtEyzruHFXQXpHhZagOhMxDX6HZH9YM
2Uq5V9x+XiYlD63dA1nGSmY3xoBCG0Rx3WZLhV6068jJOPyV96tMNLokBAgQYWZXIHdLIi0gPxDN
J5i9TotMKe2Rk5kCBi/BjQHooa2uTXG9kTFABHqIlmFau1CnHEWwrS8u0h8xvo2DiGEUiNY1HKrH
oL1vQdXWqNHbdFrqw2hRpk4DygM9jlOKTEfa1cA/2Cx3rEcD1xTi3Pj0K+C5dg+2o7Nj99SRLQUl
MRNEK4NwEwfqIREvottvWApDsS6QAo5Q6CZxje/JGW3xGOqHcVwOxMPhUDFAWT1D0DABz1b1QpwZ
J6U8LiPep+8j7zUjMLlOyH6U2JzDtcmjmvnJujD1PIJAwp5/566MXiIxQgB1u12weDZbwoInvgvt
VQh78sScOzNr94vB4TXyM9Sbp1gpuqsXtF2VOC1RjFSWQZuzWtwaPS66yvUvwNar3C8OYsVwgwn0
brm+eDMuNRU0e1zD885rvCIFxzOuEdhQZLw4IrR+adMaEsmexxLY75AuLRKqAXMrbM3YsRh6JiSm
kCypxGu7fuowsuncDBX29rG5R8pqRsaZJXZGsyTioU4GAD95aew7pa997ZrnyfkSokTbTup6CiYH
J5U6+1rVESRcHCSxlq+Trp2Tb1d0egunxwBB4Vx63b6sve5lYGLHuKb7ubLtYe422XaAvNi56pnj
UrhEBelTCN07t6jVo1cAx1Ou2VM5PmJzhlqLsRPJHGAvZHJc75oGmdaSomlUTg8o20HcaEZ+XYg9
4D1/Hw8Uqg4uHpkHBmQSGPQVlEl/cbYqwpQR4sEQ3BepKsSGKSLy8cFHTwF385s7ho/Kx0JSqeYZ
lT9IQ+VCnnjAIBM441GrnyMfiuaiAHAx0+TFtHQ7TBBqMrhsP2lXxIhZEVwsIX5s9Cy6BaT39gXr
03W214aDlYCzZZKiKXUK3QrL4taDuqbdI7v3ODNkIebWxqmRzXtlSprCnPvRcVGnAR+uyNo1GL7S
IEVLcHprZQkSTs2UMS1CFPCzswsxfsZxp0PwwaOu2hUW5znCqBTALKeVKTcJq7i5LKNGJpCVYhcx
89w0Lk8av19zowI/a7roxaEWl2jkro+iza11fgoiPvMVxZHrmKMvzZiUWqPjYBhr0f2MuvbQF214
9ggGFJTVuzNLeKplA3Gl947I2QIv7MS70k5eWZj/pvIzwgA8kBG6aggvMlWe+NSNQ5UGm7piZtll
4RTtRDWfG8VkjhY0TmceSRwhCAcrdEKop/FehC5iKRSYv0X9Wx/QhrbfPN/TUAEn+ALLEACTk9do
ated9ZdL7G9uSJc7xxY0Gta4AK09G6Y74cb3EYb7JBYOe4YYcbGbWnTRHcQ2ZLG1zmzFf9YYfTdN
26Ja/eClueP9AMHAIQZMRJfraIGn48CBhOo6JRq6yWgCYOV8I9ScFrGRjt8L4q9gDYCJ0irCeCsH
8b4OQd61pV91T+hlcLW3aySHJuEX5H6uhr0PmTlXEv0XeAOEwivQvpNvkDLwxuHBW2Bdt41z4Kp/
FCzoPzHjVJe24VA8wWGgnByzeGWP8wTqzuLJSwTdX7pKPCrds6TGruIg67vHoIXi0YzLfezXwzlk
ldi1VfRjdvwTd7ziboG1jrCO97F6dXjBMKkQuP4WBKkGjPjQrYImjKVpxO3ZegF4vQoD7YZoOutu
/kp4vOzEGm6XwUGWEIbmGqySQRQu2PatKWp3ca3vg2Uec6fAzy0D1jp2chykcxGXvy8pzBh/JmDx
y3fs9hDdtj83S/M8qzdDYF0ZsYJNNDNJVjKI3aRmBHy66ilGNubEp7sJqfk9SjN84Kr8rAdV7uQo
p5QTx2LsEW7GFZKq6UcP0lSRI0E/Z2HE814E6yEwyObV85rS2f3aeDze0ya+R1Z7wfSjF087LLUx
0UjmS+i9WGoI/iyuYqRyqhkmClkPLi2+wyIiyc2c821UJK2Fy+IG7BDjeGLqErhY31RP4xYN86dn
dEp7zApCfMlWI0In4dvqRVdsQwYx+y3AFdkqm6CO5VHQzskojEGSDDzmgLYtj7T7gY05cN3lHpPW
nJ2i072sXUwdhAhRjaOXuFJ99f0RFwZWWwFsV2PqyS6IlEnXxX2XhfjSYSj5pUBZuG1liGWNJ6+a
ke9BgQSviGUzdnPmNk3GiLdvfVqc3DJAzGJss2KJe9D4zq6qMQSADHlbzxhxMJXXOND3/gJjzsYL
PhgObioKNFzIny1Z0wdfegcdkXU6CAyYWHuco09AZdVd54a7pfROpCxTjUUOtQnUMiwMeRl7EybK
HF3kNALlZOVCztgLgbAiCZf0Pe0uzkJxQie79ZeDnwdRbI/YFBUM0woTF7RXIIK1xE9LNH6HWv5M
+8I8uNCklK6jJ9k+Q00DTe5V+izcyp5tDwF+Ci8d9maJvfGpXX0cIjHGB0UapDUwGoLUMaK5rHro
gwGot1ixonKYGAoTWmiBME3kxxcx+D/qol2fRXdZZk2eJ0gimpvr7YvFmJxlXup7y7S5BnML5nzh
5lDwockp8dYdXwuy7xWmCFSYchFS/KUx6NtHx8FG3wVe1tHQxRpY4UAgNXcs+hHz3TqCTTssrtgS
gVoVBdlxUw55CT3xSrjHjiIAvBPVgHDbdWRHv/DCu3FYv9I5xOyFdnFyjZEVT6iVkxgjua4kXMJr
IcSOAEh9/PUtgKy4yEl7XpDUDMsxuAqOmwOJTnPoSrgE2g7eHtLDgrEJk7ebynH+7Dq4fd2mqBEn
wkco5+B7uJTwCixOrjeCYRm+A3sKM2/22ruWYCYL72l1H0vvpMKkRrTiIvSpWq3A7SogC0Myn3gI
UAuocEuOEevW3MF5Sy5DVEZPYFAASVHzuWmgDnW+wlST3oX+FDxCNPrEgF6lzuqceqtqeCQuP+iQ
omG249WPQQ4OWr/QGSCOEkfaYiaTnQoM3Zj6Iiva6qXhizoEHtBI6QzgfgBk76xtMMWic78gRQU+
yw77xkMHUEzdKxVFkzs+tpLSeIfR26t1KVOuZvDPw76Lz60c9jN2LUwcaj8jzjXvBeU4BCUi73Qv
KY6Qi3Lh0CpvukfD8djyaSddwG9DDK9zwmaXjJCiAsx2qvuJ7coqCnbQU5H2NOwqZ2TYbKVYuo7d
sAc2u1MY8HIaPPe9wUKRyWAEk+xjxlhDgzOQv2Rs4ZFgLhOYO4zXi3BE3DBd1rV+rTD7BuMbMHQE
C+uQI6LrJDONkFmdRoycAYVLZvOj/qbpKh9RiwDSwsUcATUP/Ss4OH1mkIWzcatQjNNfFPD6VsbD
p2FFFq8M31Gcj3mwxgSnejqJ2L5r0fuPWG7OaoCOJDzrIw00tknscnVBN4WUORh4UNsH43igFSn6
Sgj0soSGD39hAAUqnknt7b1wOUaoTTBfI0Rz7Ec/QZJeCUE3KfXsZXroD5EDDRiDduaKyMPs4dad
YZuU/pIErzwM7nxe6b2hFMOPtDq6fFkzhSouC9v6OSzd16jHGZFC0NxIiIARD+Bk8Lt2nVEumua5
6MzFUcW3iKJZqWb9bNpCAe0bf3DsuzCFonSU8BgN814jGNep6JFoW+ceTn9ZAm017NsCviIziAAe
R8PXPAz4A5TfKYubzYoeBYX/jy6CNBFCfygk8Om4Tgavni7VajJuHXbU0a7h3H8aUJtgG/SSxSJ2
jVljH8gp7Dy9YkJQVfTJ0CAqWP5gzIb7sYG50UTefKhpYA4M7zgDymDSApwwhNmWJOkMW0YFINQQ
4WO5ja1M46n4LLaspBHqOK8hQwdl47OaazxV9qgoneVq1mhfEB/jI2LmHgpMFLB93J9j3l+oK8dP
tgu+Rh485ar07oOuYwfR8U9L0zhHrce7gmCsFqULVFXMD0nHmMlPdqWfMFAJvqnbvaE8+A7xWiSY
iVcCBGVztx7Y2p8J01cO/A6TKDD3zwZIYTYC3j7H/zdRsgbOS9iGzt7i5krmAcsFXATs+BIphABR
obQe3LwWLhZJ3XiZwzUy0z2G4bhCIt/uYpxDzUb2P9ydx3bcOLSun4hnMYepVFGVpJJlyZpwOXQT
zDk+/f2IslWy2rf7numdYHEDICXLDMDefzigRXGopzBG3O+b7bTNzhTAU0v3jtIBywbdFsdMb+E7
oFK09ULeD205udu2b4cFWcD+1vFZUrulssl1Vnlxc0Ae4CD4Hm25I5GbFXDSFcdYgKXcthrpQGCv
3c2oFDyjrfekmUa5YIH1VxYV3yZliLe8gO1bnSd2IajD8n0PdfSDuuQm9dRPVvndrcy5CtlmG2T+
FvYEYVgp+OXULFvntV2hVtPe2mxkzAncUjCpX/RMQz/UA7Zr9ZSIET7MQXWwajR9E9yjWd8HyJDd
llXyJQ/XBRJYt4ghgZMOFrp7Htva3piqky+TyoUlLIAWqILyQu7DC5/q5qYxWWdPQXU3dMuiNFGx
rRHP4FXOKkxTcagIgLBXZHpBO5UmG7ykRtrGEwHrlCy4yWvtEJeJ9nCsx2HNxvUzX66/O5AfMLu9
h9KAtRWpQLFrHm5UH0lR9eSpBjfb1LlnLClkq7eKaj6mFZAwh3rpelKFhiLWM2h9mG7NsNY0MmhV
k7FgmP4yddRGQzt89VmAZ0rmrVmOfO2avEZ5jg/7Q5T7r6D5mxs3AwduJGwmrNrlrTGZ3zv24ejp
VqCSkHtRxTdTS7UbJHSURauwRHPzIVkaiNBNDUtDtn7LPA1AoLcny2kfmyrf2ckQbTSWQkCN6maZ
atb9NEDpi+JZJaCMPoc1e5mWpcFNm8X+nRWnaIQ6r5MzVxVOGWrXsM4rCPc2VN5J+S4a0lJ18AoI
Nrj1WOcjDpYvtL4Ilp4x3TsZAlidAda1Y/dq6zabAwq5qOQBP4hIZy1nAm02WGDtwaLfQp0pFkZN
TXlQFKR7UM8RbJl1lVTMiEhZZlNeT2flBfJrM5rJ/zRaE2WfMH2Wu7ioBK2EzKLPx2w9BWO7sJpF
YvJ3llsJtwbblbBiFOVTU6nDCmiZt+yD4U5MD71O2kbJ0Q2oAX2PM46ekiTsiRKWqZNXa7OxUYNh
aYOGC3dR6e/Ynlkrv+HxnYH5M6xFnUDKpKRqUgcx5lwFqB3w6V/WZa/dIAXRbevG/BYpHdv7Xr0z
BXvkTM/TGzfdOskj8tIv1ShyZJXYEmdlQi5MXwRzqnLswLQOahBsptR+9JoYrci+Q6cjKdHEMctP
o0tlrY3Se38s+WwL8Ed5nRaQ8vxTwsbp0OVjtg784HuftNQe6uTRRD5mp0fRQ2P3+7YT+r6qEaNq
2HgvyZJMN9lA0sVDyu+cGuFzW3b8K9lqJHWxqymk7XIbWu6Yl/2q1Si2+gXiR6mGQGwxPIaTu+y5
R+rIy/bBmN1UrmbtZFr+f1V4+P8YdPub+8IvmwfpRzBjXf/v9YsPJg7vShjzeb+8COz/8Ryqp1Qw
8JySmNcL5hajkP8xPROsrYOghf4ecgtQ17BM5wLS1al4/MTbalQvqF5qnkclAvKV7vxvqhdw534r
XmD1g7iZ6tnAhhzsSDBm/L14kWhRxccqtv4qjfxgZarxNJR8SwvBg6d1tv7Um8hophPwITmquop2
GdVhy11GySf+HP3TufJScvKfztW8ryFEkEXQFeVONm6SQPy4xh7Zp50zNx/6omAqfk1U6r2dATkP
zKlC4+hXkxTe+zA0U7TY4o1Xegac0CTdo/Mf3CpzWI6ZSpZOOGvdLs1n3Wl+xFnTn4KBArsA/eFU
EVmXfny1ivI2Q+T1GWVc0B1RA7lMpdC7SPzJZ2/G60oeIQHn7zI/sNkUzyMyjn3q6x378XhUg6Xp
+COIKyMKFjDPtd2QaE650kxX28mYRM1JyX0V2FYYbcbIzKgqi3yfzI3wB+c2UeFjfxiQoWzssMr3
cRErYGDnQ0T8gz7ey7FkGHjziyFaIhvXIVUwuceI6sAqKHz3KOajaRhQE/MsVqEa6w6j/uyppXLP
UjReA28hWVB0+bGbGx8lhKPvAMMD3EI5ounBlFJjsFNqBCR4DOpE8J2nY1Ao5iNfxnqpdz6boaGy
HkVQ9OQA66cyTf2FKlTYbXEc1XdU0Bzbqs+tmjRn/h3dJgvDGaJMn2zmZ4VCVhRsZWhPenD+t5Pk
hRKrg4uU59t+MHIwjmE77nokZd41sq+g9PCxrzOLp5//565xHKNuY2p9gsRkKB59X7FApdjabWXa
4nGAM3TT9fWw4APcIDjdGDtN04HPOH23cbUyPFowTZeZO+VnfXCh4SqxeI4TCLb94HW7ImNBkwN0
vI36Ovosj5K3oxolh0vf9cgxdH0TATJBbLcKSbBn1tpDlxXU4Rz3WWetg9QLNp3GF7ubBMWquhfk
xuJsM1VduQkG1T0XdYcEi5JGP8TQL5tSpODURm0hTCUErKX7eyT2kClpkO8D2EWyrfCRgqE+bwEl
9fNVkej5UfB5PapOlR8pAOXHkl3MDfJPxUoOVO4oNJ4bRhRBCsUti+9OOxwQTX7VIxQ0bguvVO7m
ELoKkBUUnCmRtPkrjyf/oLcQpY/qoZ7gMU/pDgK8AZ8rNrVdlCUxQIk4B8/awxSWnZfxqEYyuEjF
xkmtcJkLxb5tOyVCl0j5rjTpcIgd3zimLEAoYCXT5y6BNq+W4QzpdQN2+5rFljCw4vHeQ0jm0mTm
gjPC9z3B4IIHq6Y1uOLxfgCVPQBYWCdOED5QadFv9LFKv5PM3wwIxTxbdXV0snINLsnfyYa3nr9D
oOZnmMqXyTXmP/DkT1kIREWL9khjpQcBNWvB52Z6CXx1b9e6/QN1gkdzssLnlCTdUrX8iCxblR5C
zA0uU7ts2kdmmj+/+xT+CR7ygdOGYxImKWRSbXM2l+NDM3993rE5HC0NW2EL96/YDpNt6MVRcqN7
YXGnkEO8a2KdWB5+jD9OfRf/4/DjubDPQAY3g7k00aN/asvgXFrjcELVL3rK+1vkw1IW16O/JAFj
HGXDTtrkHZZSfU+aSz/lNwH/fp7izmcMZA6Wct71tLczrv2WPoG2lGf8988os+pAejl7HF1U1Oou
7x9CHW1M3xYRucem+BrE3V0wGMHnFKrJ1nR9VCUrt/ja7dBBjb/WaV6vcI52EXiL689IbW3TCJrt
1DwOwZTdK3ZjnVO2u8HotC+jZYnNhPvskvxV+5J1yNakVS1OqVUHmypwtFutQjkctR3xinbBCFpf
HZDad8fHNC7vnbm/dgexVNPJJ99rZc8T5DPZ31I3Xo0NqR4/jQWFwFM/Ds6LP2bKBuCpuZTdAUjd
JirCp8BzASuaU7zw+yB8NfRo8R93nzujj64QHe4+qEq88UwASqxw/uHXM0WGW9uqHf6ItNggc8mn
C7zv9GqqEwXOUWfNUPjGuZ1cPuX5+KomHmDEAD2pqR6NswiU55EHdoW6WoT8lx/vK0ON92lR/TyS
fYqb3sfZFGw+9Mu5Q2sP1DHmc6/DkV3eV0bFX/wPl5N9ah2tC9E+OBZA0qFt+70KfmwfVyinpPkU
vDR2dHLmh9vyrfvSNtVnOVUX5s+pHZWl69TcSZwfuWLcR0WqPdtUB5ZaoYlFJRo2TTeKqUxFdu+2
/ZZHckUNED+H+UhNzJhkaCt+Hv0++nGeMoSrAZeHy7nX0ZziyZ1eAcd0M0+ldDC9b7xC20aGjZrG
7/3XudRS1L0MbSvfN0Pqb8CYjYgT/eFyss/Ks5PeJ8h9zafKC8v+j6eRbjkrJDUXQx6v/CkZP/Hx
jG41V6te7BHUf9gg+R0UzWGKA4EuLPmCMFRadqxAnRvLq1BaTCtgy9mTFg3RifyU/vQWTV5gPKEk
8KR3aXTS5mgek5HOl+o68//pvGn+CW9Xuf68gJ8go7ex68+bx67R22+Gsho1CRS3gMKG4uBKWwcL
ZbLUMYOD7JNH14Z6KANBgpyXNvyc96fJYvD9zb8/yc7vdmkmeyfDMF32J7ZmevOm5/fPyCCQUBEQ
Vn6EkfrYTJX74DpRdKhjnxzg/ESzJPjeZoY742vDQ/nW79Jfv/V3E5nGvNRHOX9wQu/dfNlvBM73
xP8aVh5UowTaMw83ZeK32+xyNPepU10uo9BGQlDUJK7kPSaHZSPvNnkkJ/J1hBhrmFxRdl4u7mo+
cNhJqAuKxuZjmcTFTdZ5GTh8FsVpDvNfqIjJy1CF2vjQIF4uo3yegXZ2ARYizXeh9To11Jf80QKb
0gBwBx8L+DlOv5cW5UZoUK8py2TkdX/NsK0fvnVXd669hZKJl4Zms8i6xoXxX6uB2cfv/fvYAXGn
mryPWRCAl/iHHkfgTZHlFY3yLa7Rm2cxA4uicku05Um0QopG0hD25VEeuZ03HN1X2RFmBVPNeWxM
SaXG0/RzvuyT8ycYUsfue3e56vVav1//8kPDyPnboTgfD2n9kM5N55yFapb3XuhUD7Lhm3ztATAR
3xfR3pztRoC8P8RNYj16ShcsahOCaOB71iMamdHOLnU0e+fRQRss0j76relH9eUEtmCcAOUhqWe0
7Lx/VryYzJnl5hsZBsjcLvREyzEGZFT4v0blVvw6KrficlSdJ384F5nP7AlmXLqdYNz7o57ek83N
Lo0SdD+mIta2sksOtm7SbSO9+juFTnKfUAUFyQX6AxHuPGtXkREsuvlWitCHv8VLwDqVo9ruHHgM
S3Swg9faQU7XF8bLNPmLADDL2h9apHCLSjx2pSEeNUBdXtAoJ9k1hAPIJrUQEAqjblu1JFG9ps3Q
vQwBsmi5dypNzz3h/uadCiuAO2tPyfY6MMSeeSiV6VZOu/bLi7TA0d4NsHmYbgxVcZLjLHSx66qS
5U6MAVRU5Pdwib43ozO8jF2erRzNghZTFOMLpcMTeo79GV7Tf7zNNOt36DDQMejXwKZVGw8xw2R1
/PvrzC3BkYwkur/V1H0Wme9XW6ATxwha4kj9XQyHANTDQR7lcVZvkVk48jaoLbTLmDyHKfCaEdzW
OVET5+AhgrspPE/cYUWRHpxogvuSpcMj2XxIFmGYfnVSFGXaogYPR9LV6WL9hzOCAs1UBLlYUR7Y
Amasj9yRrETEa2ZCkukGfWCEJVEx8Zxp3aY+gMdOj8O/9CxsFtksmD3xPOyvDT5b9R70Emuot4Eu
g2KkAcd2sFpdeqYfNOe8s4EOVRt044xnA83bxViYMGYTxXhubHfv615xbpOxP0eNv+N5iT8XzsnB
WWvPrxIj3v2rcadqhHrUNUAUEm0jB1CHIb+gByqSBfNLl7TFJzRl/PX1NS3f7Nfw+tZ+myu75Axb
KZa+1TXbugjG3bWZumLcpUmKiVajbwwDGBMSIr+mXGJHkO6wYZqgvWaeJrtftJScke8mkl0Nr6id
2gwHGXFD/uzvwGyuxkjtb699cgoZgFcNs4h1zw6h+haBsF/2zWBvjcxWbpJiDL6kRmYAzAjHXT6m
2bMGQU32576fU3yKoiXrOvHFQKzoJrU172TChHjQzObJnvstPq8r9Ap9igxORgpiFNT0/XLQxl03
9PYj9g/hEyo7ctli1poM5OrDFK6YR2SQzNOC7t00fI1g5onlvy8QDJWE6G+fFk1jceAA6waCrVq2
/SGNORh9VnhARr6hHVpDcFXdvWwUOPWrckSQ7dpnCuxHbqjN/pyTJYm658mz3s6Scz+Ecr6lkl0H
UtatnLJ5FFho3aEZwLJ6bkZLBX3DZ+vaZYe1io4/3hylnpuXaQJZNcydkCiQfXgZaAur9MoVJIMB
P6I63WpDCXHaVtSlbRTkA+ewgLu2iRs0mGUYoYK2wx0Tx4h5FDV37dSp5kFG8F7zTwHI8HlINtRD
kO6InPvAC79HWBDtUqp5G7QOkFKaEyijxlfqQ58698W/z7v2KRZ5z0um5sN5reGOO6un3jspwZeW
0tbnukMWVtNFu9PHAAtRdOAXiRWrX6C/b1WttX/8PjUGS7gz56lWCQ4rHAaQ2ZVw2Ld34ujOTamy
GVBVcSvCRCCOUKbA2eYBGffucGxM1dwqlQ7NX/Z5nSWOlRI32OyMoJyu55WK7qwTlyxyKURyMqaG
SpyH95vNN91MWVrJsCp6cw0VGh+MebTWExDHbu+vL5MTkF06tiw7GQZK+eJYosV8rtI+i5iyoWHh
dNWSirIM63HEWeVQ2BqAchZ/sovMzi7s0vCEtr6zD2LzbI45WbKycTPIcJhhFZo+rBw9zfGToJFH
11G99MhI/z6g+Ehr4Rrg3nmTz9sHxzKsMEJzKwY1pTTokrCllmvMTZCiuyXDKY8R9i08rAV+dckj
OU3OkKFs1Mapd74PU5GcLaYmQetCBXKMZZ6H4Yudw0EIJ5RrYmQzP3vjSThd+KL6lr+bcImBukWo
e6m5cGw13cowb7Jdl2n+GSTYF7+2v8Ya6ILA9oc7T+TpUyOSXZV046vsD+d+3UTm+Q/9Djuyu1Ch
vCuTaQP+dksZygSbzKXJgWvS7drXTs2mmNStUqsGKAcBw1uPVVKmhNfGewt9lUK9VZrhWo5CVyW9
Lw8rACCHKQQtVhqHyIsABqB4tzQmwz0MgBxu0Ikvv5R4NAM7s9EpiXr/qWih2AFb/WLG0C0iPWlW
9YT2dambh5Av+6NrQpOVp0/ztA+nozu4kP2GQ8bHCqN9iEDju+S5kSPphT66cSeT56wEtBM0Uf4f
SK+PGRAna3L8lYuZK7Ctp3DwHcq18zJBkKpaDNgpLbuI9Ifss2yN/a/z5LX5b9My6yXuWSbfoD7m
PZjjeRo8uGzArair6rDD0cqHYe6V/jxYzplzv7NP//6FkG7BufTlnqt4cgs5V9p03VJ1zzU+biGx
78gdEiDuDyVIUDO9QZ1YRwGKRXaOKG2rKygiEMTxprcK5VMR2vljCGAgdXY+GkwH265ISb+FhY+p
KGl5aDjz6GXfEIwLlWQXPDR9bwBR2ABD1vfWfGTMffJI9l1HAUgr6+s8edSHrE6zKdz3jkcBxOSR
b8qqPgHJ/dnIAQSpBipSv/rklIkM360cKKxkAM8+n6fNnfIycrac6MWj9196i//cpjtUpiBjeabl
Is36wRQ3sLoQC0Fh/LAyJJ+hY2j79q2xAa2iojXHDS9mUm/B0mjC+u7aBaeB9UvYGcspRE9G7uvi
GmCIIeqD3Opd94dhZKJMgenC7YcBeRZ3GGU1faYneEqzzdH1So5q3kWLUE9f0PHWtlZu1ad6aOsT
oqL1ae7PISdvLnPjyIxPqBnuOrPTnyYEJ+5RQ9lVfWE8GfAb7+exEi3361g9R6bZf8q5L5e5rpRb
iFzRTh4B9fl5hJrbz6Pr6PUo6J1oF+t1tf73+18zfhfDnB8AF197E5646lGLNj+w1IQj/CQa1epH
3GRTbSKa6q0kWS1xy/tCGdiHzdS1S5ejYehZZe24AKjn3SaX+G08ikMEAJ1qO2aucoCzanXr0cvf
XUYOyGuFEChRSMG2k71fhGztNHtKZWcUKWBMUJ0dMbu9qVDrAH9avvY+BlQJaLZHVUzDEpE1/1AW
IK30MCu3ro1aQEzGbqn1UfVopFmEeYgIXucritjBOQetFj+Iz+hmgiNRgFk3iLN/N8EIlUM/vvB5
9ZeT4vR3WmL793JGUtn9MYmwrW7k7TrfnoPZqntH3rM9uhkYegTJqn0buU7MdQxHjQBFHKT7QeoO
IELKQTyapSce9b7VF6Hn4gYw973NwBkGM6zBP/PKrh4g/mYr3fchrs2h7AtRulzhFRMtHFnuCt7i
jDLRg5wo+xSPzdo0r9TkwPVaGCfwioI+gKeY0tyZpVjKlUIbDBTj5hWFXD0UfH12MOSXH/rlDDk4
n3ldaMgjucao5jPfLnvtl2eCa79c9sNy5Poz3y5be/l/bLHdf9zsqBeaYNld24KEh2jw7zvsxgab
x0cJaZQR60LNsVGBmErKgyo1Qltz050MS8uHzFNFEy4PFKSgOjD8YSKuJw7mfvPZpZw0zJPkzOt0
eUkZyku6hXVKdCMFq0+aKTSNQr9p/KQ9FjvZM0GhOcay2ykifxX0KkpjZBT1m+s4kJH2xkEbaz3h
rni8DP+8ikYJ+6aqUmuZQ6lgKdBQrm0B5EZ5mQLt5VA2tZL4uzRYykCdN+TvJl+njfOIUF1vpyS4
SBZcTnZdDv0WO9zGMfwVSKb8UGfZuCooGCBL1eUH2Scbi7ImMlbzHLd39oU6kqoQMF0ufdeJwmt+
XkH2eYX1X4rRzu/+7HOKxVBNlvfQKcHKGB9TLGDM3QpPzOHbUAGvADM6gJNEpcE68H16yK3UL+Dv
mX8bHZIFU6R2j9TK603sAOKVoWy64hP4//IsA7g57cJ0WBDJEBcZ6xBE1oOMWj/rHrvQ/ztO2Ljo
gKuPFLTNS3FxBN2f972yk4XDS4EwcT2xEh0aRtd5hiwdgthdluDxleROfnxSDBnXcYEMivze5L+H
3ghMsnGKFVgj62Ak+aNEVMgGHab7oKuKo4x80lzLhLUgRoNsOAD+2Nf5OZpdtx0f5jszGgCHz0ep
PbifyrHa93NxTPabY2ze4UXgfkKn62O/0WMbOEbY+fWaGvj/9QWzPpTz2N0j1ID6n4rOAmB1ucR7
X0xOFST5s654LXxkclIyaDukH7DjMEKN9nJs+5a16xx8YnVUOW4tOXSZIIcuTWUhs9yHiMnXolx3
aZZc1oLFHLrsIpYyw+rncKmRJ0qWMv9qdyD45WjUpfkD2mcriV+QeAZ51NbtU+W04fbaf4VC9L8G
5XyJibhO89T+KZrqc65nCA3F4VMcDUunS6cXXUvYFYUptolBNb54/YQ+IcusI/D8yzRlcrpDOih4
gM+VCvJD6sq3sAC7ViGuuawPFY3r5A8JsQ/h9cpkGtDEnX/Q9aI6thKNEbknb2iOsi6Zhv2DpsT9
s1lZ5dKMkmbvKbG3V4JRLBUlSl9qozqGNWvsVq7RsqAJzv7s7KjBbTiZFtnLXlfvyLuML0ZtpZt6
rFiyz6GchpR/vy9gmmHHMpasLIf0/robCcb0CYU09e6yHQHIO2wQLkQWft6wyKaZj4SdP7X9TO1+
67/Olde8bHsUK79cL8pnluAkYAVPSXxmMajhQwKJBw5NdJaNnoavU4qDnoz8XnPv/fhFBvIc4fg6
5D4PNcH5nD9dB+Vy9T+SZNaMGvwtSabbho5YAUq5ujF/GT/kneMhrlNf5MVrI/T0jk+jOCSmFxyG
esT4kPTxwqqtrAbGS+efhuVAU1hf6tosdvKd13in1g66swziCtYNFhhiLUNlaLUDHvbny/s2jtW/
ytwJ9l3lWptRwx3aHwarX0ReGyyMssgXfTXaG4w9ntFuHJZ5KADwTJN3ssxec/iEG89uZkZ3ss+e
qwPRqFCL88u1jKbRbGesHdimvivYw+Z5jfKC75kPrsC9bX5JpzqFBjW2xVK+uP28FQ+Uqm/tPOgf
5Qz44uyhsiTfyrB0bPcOYhW32Hw+VlDmTQlnAYHBKdsXCCc15LuOdjGOGNQ0fOo1ofYA/zEOExBm
7YUcqhX11StcczN6AQ7JQSA2oIQhhGDmfRaw0RYTtZxzEI/dYpiPYOF3aHS7+kGRiVcHkhJZjpBS
eiLuLaGzc5kbyBX1SfaTtr+X0RSqiABG3g4/R+ceTfQv8tVR58G0QmY+XWtVD4K5iWaHIP+hSYb6
ICFrjZ6hEj5b9MGYFI+yQb7wIY6d+iCj6wwJeZNnvV1DzgiDYbwxeOJvru9F+bLTtVocGv/Hh24Z
Oh1+wFSmZHB9Zcr3oxzz2x/Xl6U8Ks1DV7voos7phgJq3d5gu3xH5h8wDE4XB1VD+yFwk4HynsAs
SLWiz63AFCZtyvxrmTb3XmL6f9vNty4bkUJTtGKZgyD8UTfaa2Z72ZcAKhjCr8K4K8BuL3TFcA6j
HjkHSSsJrTrfYiDwgKibMS3ETDWRA5n7aAuyeJ2qzCWUIYDn1mE2ea3EDZDCcg/ecyAe3ECY398O
kiC69ES/DuahRnNOiujinQ2v6KCIup1u+opKYmspFclkOj0NBOeixC5mlWEC8RBGlnVXqAMCZm2D
vFttWsFCwYVoJdM7vH2qh2g8JRgyl4DY9tf3n8NfY0XGLr29vPq6+twIF5sNDZhlH8bJJ+a/aGi8
f2tDVJ86jf2WZXo1stoFNOWKbZyT1tDmmJG3CCk0VRUfUrSqjrZvokxY4gihuDkf3VlkqZhVmKq5
keG1qUp13RuJ2F67EFTr17jDhtNnrarbNWvOJetAcUQFxLwfqGTfuwrKZtowOevOMRWkT9yoW4kS
ZVw5bM4Tw0FE5I4DcgxltHaxv0VQwoC7kFRoQKVZtscYVgNqX3HzoMp3W1u+81w61ncoVNlfBdKh
jgeM7wbmA+a/1fAtVsBS6C2CqiM1cJjTefWIWt2Np+v2Q1K75WMeteFSxcdrJQeNsHFOPk50clB2
BRpG1w31x60MFTXpd1YAhyrt4wb5gz55SiIjOUxofS8KCzzuqqxxBQhTdiQiYYeimpDjUCzkUHbK
Jp6HL0eqbuGzm7H/uc6RIa9be+2iInqH0JqOSYVZhXcijF6GfPBOfpl6p24+KvVQuVXjYoTRTdjH
+bDxqwCOZDo50I5DXivuML7oOpvXwXkuOt3fBQMsmowiXZma0fR5yqA8tZYenWUTKE+tX/oI04bx
ubGyYaeN1et13KhM6A0FFEHZh0fBV/g3EQsFB4DZOkFncuyD4mtjpfbCs/UcXU/VOcKe6G+5U9Lv
f5hRBCoc3sJ8MUiwnwOW4gZp4icZRVbwLprHWGmQ9Zln5pqyvEbz2Gjb8V8p+4ldgpznfQtm7vK8
YQGYrQcW5ZeEqwQeZxgj+yaAPb9Ij2OjwW+D91dVU/fJV+rurGqIjya58tlEuGtfGrBa+3lWVPTO
OiqRBpOjSSTqhagL0MUFWTx5aT1PknsNQRj5dMum67t8XfnRz98gQtMdVdQY4Ric3/bQDs9t6kyY
QYwhrlM22RYNGuJZNqQsjkORW8vGr0+WrKFWSNBRR2mo1c+Lv0tnMlr5utPJZvgBxouTrZBd1+Ps
vsAEGyis0p8isZU91+7rVKFZ6b0cSFJtmKeqjuKtEXu2TCx2VH3Jdg3zT9tO/oJuNWi5/5eTuvjR
2k3zZCUekH2tnfYII2k73B8HfKUrXVlcwDxJeOfBkHxSA6e66wL3Xb85oBWUT/k3eFvGmY8PhE3j
Z60sd7HcDvviLCtnke+8aJ2Pcs1cTNMpY992bZnfybALGm/BXjhZyzA07GYdhQ7esvPV7LEa7xxd
QYvP9fGX0xB10XWPdI1fWXvVBEhRQRm8QeoVitmgPHRaHDyZBh+wQk+NlYo94WGcYTLUQ9Y1ykY/
EN5ESTpO2kd/CpR1i23YBhQSJhETvD05JYqpl5GIfU16pGamTgBe09PuP7Zj5h8Wk47qOBouCNxN
xkeXCANcZ4A3YvIaIstgd2WLNK1Sn+NGj++KGm1UcErNWfahMaTx0sdSTIZyYDKcj2ehHLoZc69R
Hi27Q2odMy0PVpyJyNGvA9KbEJthzaG4qZCVc4wGTvPcoKFRrnJL/TopSr3LAgfrCt3RayimNHKK
DM2s4Tx5eD353TnyOsNYffmP/KvMr+bvChC6w3cI9g84aJCp//h71ZVaiz41+i96l6WrNNBQ4JjX
E9rcyKNCJHzWQ7U5V6EDtXQeCOdFRV9aDIDkqNfYOKByPne2cegeUt3A37GDZu/nAZtRWzt9OOoQ
Pbr0DW9H//t5vV6tGiuY1hKWZAEIvhEmpVG5LZZhYEbxTpZQZBibQ/QulKPXyddzmxw9rw+Tr2FQ
oxgrEkx71EFz9m6e5yd3jCHFkkyVDYgL4zbF/WltzfnWZPKyk+0Yt6ault+qGIkJMMrNAzwNfVPE
bCKFa8bsC9CWiIbO/hH7yMuM1Q87bpWbFNLmXaHxSob2idjGkGQvwcgrXxGDtpZhhp6DkjvZQ6aT
FwKddzQ8I30J4URuhNJCNZBhBKPP7v3xgFrk+NnI/orSKXvpkyzbGaY739lcGqZBuMhdtUayk9HR
VJCozioAoyo2nPNvIC+mpjj9yN/gEprep9ztsofWy8pz3VnHNBDW0rKicNtS21pUg2MBSin8+zCa
MbJxGX7j4fgSurnxaKiRsbVDTaxqK6peXeeb0jji24cT/VZ7/vf7X7fn+sL7+5/Ekq07pGMtfXZ3
kPWJd9mbyeCtqXh2Oms7pNNndPTMVS0ie1wFWOpiL79TbMPfia58EEFgrmUk+xtULZGZmUdlDJsG
7ASVmE3fm+kWx1/2eMikpLcOFOcbx5/qrdHh71uWdnEPcfI2qJLxLLuyfOhWHU6YCxnKAVP3Hu2q
pWY3nwTZvtvXYnqSkWwGXysgd5FV6YD8LiMd3pIz1c46b/1pOURAJVlkilt03JK9BfbweQiBNrrp
+EQxK9iWETLpouus2cWpmG5100F+YH6IL4+8fJTDJl+bZrULWlVHeDxA9Nqb6pMJbOnSoJyj35j4
cr8bEPMUeYYznyEnY9LzTTN8G/5MAT+uQyFsp3p4mDZvR0i5MSJjco6ue4v53veh8AB8zxOVQT02
qn3/IQ8gw2sfUtoThaS97Mn5HL1LGTR6UIKT8s0b4WbiDgaI8jmI/FeTd/9JRm1zSszcfUp1P31Q
HXECOKR81lsx7FQV8bvKapXPkJQQ0qNYXvegU88QcLIz72qkCvkPEbFqPSoRTSmQ/MKmt9zJvrTw
1nmTjms/Krqd4ivtTsnHDrsE3S0QTf8Vy6PrHHeeLUO2fUcBTEDvtGFz2cQJkhd3wi+eJGpS4iTl
EUoC+MfnHkjzsWCzFwAGuM6zchhgtRJNLA8086SFlnVrV6yg0A03T7JRm8CC7l08zIjeu7HCLhTd
kNg/VMgUf5gWlShQX9hx6uT/H9LOa7lxJGu3T4QIeHNLL1KUKC/VDaKMCt6bBPD0ZyGpLmrU0/PP
xLlBIB1AUUQic+/PmIekqcNbeciHOrlxx5MsEA0EOAA24Lno9Okqn0SGlcbc14lm+JCpkXifix4/
poPbxkdmnPh+QMUuLUR6kiWsKTIQKNE8G8X38pClgJQm+FUsL/6qM0sEGVAbX2KwHR5z/L0bvyeN
bpeuLKEUbTzFyvSpBGrqXGoyXSfh7n9q6yFFoeahZqugtCcccWN8xeazVgzT+UzWwcNE+VHA+Y66
tNo7llvujULzAUw5XY46oDzXTHiKWZxi5QJq8cqtxvFqyLB/0V0fPp4y+jedyBCvAax2X2QYR5l5
2D7lVuUsfNRp3oY+eo/ZT/60co2f84DpZRzhTtJHbDqaul44uGJCmE+766xS3B922Pz27dZ9zb0C
Q7ZSy54KWGL4eUNG+s8T6t+Yu+5saMjmkUmVyZTmLwndBKHjXFSN84RLDtJkM3pBlF21TEWc7mX4
ekCAYonafLqXr17Zitf4R6uqpR+tl7GyVbeGq04vkNL7N+Pl5eSAUCfJb9W1Ph7yCp2wvA1zyPj/
Qh+wOyD3bIZhz5+DWG7siWsT1acl+2XxVNY+FtCeLZ5MNu0owq0URb81zah8mdxo2g9OMWPqKBIp
VNfo2I9MkhTRoQJKX7UVWqsa9h1WsazGKt12FtZ8QRtiNuc2yO30uv3UTda93AiO7RTiXhA1D7Gw
rF0TqBW6UrHzpPTGfQRVaodDrbkzhmqvNkX+ZilA8yOWuUfTyPUDqljW2sPr4xlX9WcZ5f7TFfnj
j664BmnnrtgZvhSiVFBG0J2j6UJLxm0F7lRcdIhYh6zpUFFzjzoguqPRCveHnk33Ng/lD9Wo3p1w
sN+MMgO9mvnTC6w1KJG44zwNDiSMDImuB0xixlWFNhuS+m2/dqvQvM1zpd+Qmw9v/LpUt0NntriP
ms5OVwZv77kYKBpKMVw5QqgHt6qK3WhDBvQiZEG6oXRuyhgpONsdp5NOZh4Ql+ju8xg3gjhy28em
RhQw13PxzMSF1lw2aK9o76XgXoXyzZmmV/6S+icLgKMzVc67JWbJ2SLcByRtdpXgz+nNPL0di7G6
y8vqxxAb2psWmKhXBejqJw1ESA3hVVmfDa2zrYGyb4bAUd/CwMKmxQ0fRXc78HBfTR6KqCVUaZhS
DWITTZ/8RBtsgRd89z5WboD4c1c+RX4abHRLMQ5tlQdHN7CydapWwUsi7GfhTd27ksSbrpvVMQpc
H0f2NMvCSLr7DAGUjYHc38EhocyEGJRo4YXlQ5PFTJehkf2wqmmjlXV7SIooXTpJ6R6Abjrngyza
4KlYg1j468wNmqNhkiJP1SzmVHY6n3rzcKOd8kMSfbqM7OxGLVI0aoFluOI1q0Hg/eSrkb7vsMbZ
BJAUHuE3YEStmPm7Eb5hZT79zHkxL4c6V+90RJ52Smy6O1MJ9BNagDx6lVP9aIJ6Kcfkrvu709Xi
qcxMJP/46WEKDjNb0XKHLDoKfoVfq7wWY7SLZ90JufqYD8a8SpH1dTc9QPT4qLrUgyt7kCXh6+CS
0qg5X+Mf6+RF5B2GPn1FfRGfOeTrVgBdgseurxoU1d2TrsTho6yyLRzKgQPeqnOV69UZBMpI3crG
2HIzMpskA2TR00ficfbWdLA1RNO2X0OvuzHSqb21W6V9aMPoEKQJYSytT3fIbxm4chPVgjqNa4/u
NbeVgaKg3gWfuiFn+WvKvBcjccZdSZgu8wSJdEyR6+sBU4fzQRazZOT/Z1koC9u2cfK1IjjF0R5q
LvFKWaUI65uBf/NH3WTzoAPkrNaylVVGedb3wMUueC9O54X4Zyl34gz/ukB3wWy5kDpIrfJwatpX
T9/KQAiyiHP9iQwnyZgNc225FyhD2cTd7qr5RT553hba5kdpbruU5jbZs51f68O/9Pz7ONmzma/5
5w5/xkWJUm9Fnc82JD7pFL8TpFe8a7XpSd+79ngja+RhBNa+VVDHXnxpaOyUXYAMFLtupq68Ot+H
iQWYaE658YCDoK39nSzJg9lE1paJosagB+NdkuFut+w9d9yGubacQJ7DAey8W2eM/H1kxHeIMnu3
skqeKRHpmi6YFN4YfzUQ3ao3eRYgGek1azOb9FMwr1rHrCpXdoJQ6ARD/yHUYvXA+gFV0kz/URPn
fYw0931q9fAJHV+xGXNf22t+Yt0gkR5CEEJiuyxwISYaBXurte6dMisf8BzbJpldvNi5iK+tjtig
LA4wTpi1rHZTD3n5Mk46plTa3i7K7kZJ82xFTApdw6mwecyFVdwE9XrS8N9IMYfHPBh56j6DBLtF
hO67pRdoZSaISBOZdp+6Ur83SLb+zHpSKEMBKgtwt71LDTLp/6YH0U3U23xN34Kl0zZT2ZLU0LPs
yB64XGelmj3zLvsFVst/1/W3ru2aUwqz2Nz5Dgb1uokZt+6k1kmkhYb1ZeSswT1Zr2qJKvlgZT81
Jf3owadX9zPuc40LRnNsShNbmQxzYsnwIaTeLRHFtQ56CUwZ+EOkuOLgy1ybH3bBdTQO18gAoWXb
kEVpMVdh0RdbKHcI/XegmTeEmZHjhdu76EFlvLjoQS5ZlCaPYx9pK58/5pRGXrvJYYodrTAbd0ML
GHlElPjgD1aBH1ThHgk3ppu4RhKA/xiiDAYJZYRP8eZgDT6hU4bKXaEXxlWgKuNrMvAOKAePmLlf
HwcgQAtZb/rNhIPbQLd54hoq9Kn/dFOTylq08wymjDlXa62PbkkCxTvxfvNqT15MvkJEFOq3ALmD
dWq74XUbV/VNqiX+MgAj+wOr5TRQ7Z+RqhboGSYe2HZP3zdtHfFh9eoFL7KbzE7sn1mavueKqB+d
Cqnz/2Ppa30hEjJVeehc6RrhNNUyQZx+gXeh1+ikXTE+gbf27mvz2TU6Jl7kMvZW70EQTJPqLYvi
cjFL8932ojLuBl1DWoN67IjW/Sgwy6pdlClRY5MbEVmMGutzUbbiPnKoovLOm9z02kerdBPWA16n
2K0vB6Idb0Y23UWSWeW5V6XlVL8bu/xujKn7okDxXGZCy65I/vxu20Y9KGpD8qYrx2+hk983KAY9
1HN9CPcOP1dj/NZfV7Ff3AqV0Lvc0RfJpG7EVKAcNr9ZZVyABNdwjPTSurJTx2y3+LPmi8oy4q2T
9qwsIY6Tq3RzpOJkMN0R2grgTn/tIMfGAkkdxLUs+/g2XweD1ZGVGOKvDbKLjQoiq+25I36Pwzpz
h6fWtE+SCyLZI7Dc0+u5SoEjeBeWTjoLuYoV+Gf16DpoVTrqvBlSVcSYvWj41UYwV/XA+u241X3s
u8orggIWHlC1dsKF0WH+14jF/Rke+aD+5XC+ufNw2wrM33XU30/GGNx2pi92TjTktw0swkUR2Plr
XUct4tx2tlXqJn/F/+St801xiqopevCgzcrq0cvdHeIJSPzMg/KR3Z+p469phmr7EhU70/CzV68o
7QNZ4nopi4MyPgCBu41nQaC89m+c2MLHQbTpQWhGv5L1QR7cQouoHo12XOXepC3UtMSJsWUJzkr+
Gvrf58OlTnVasTYLBM5kl0uDLML1EWtgg84qF824GvQsvfOqHHk1Er28KKN+i7dVdR3gKXWF9mO2
R8iNwCMP6M6Iuw6NkEzbqEHvQkCbsvWYxcN9mnr4LCLP/pS0hb8YNK17xb8EldV4NL7r/pwDLot3
jIU3Y+L74WKyMP2ETbQwRn/RJUEULNSCJMzsxdkF0YPRT3mMx6jJcnXOnw0NeQG/S+7UuVS40d5n
fruTbWR0zm3GTIr/0yZzcn8f5yXo4vUi189ANs+MbGhBXriTHBrg6ca+KEPwkTNHug0cZWOKtISs
xC+ye/DU4IplfPAbsPAVHqnRG7EQFOOQZbxJvdTYq0jbbLJYdx7cmix2hDTLe2wvefqdXzUSg4sJ
acF7ZN2LbctiYD8EyCUFFevNSk9HbOqCA/Lw7bFRE2PrEMlbEPgMfkMaynLT+K2U7VtBcvnF6ZJy
hab3dGs45bibDL1EFrgz0btPwwNKKdEmDRvtYNRadFRb9IkBfSUvuAc9owPQvYNy2XSJGX4fE3Q7
SnsMT2D0mGmqPETBvDfu0KYP2Rbr1g9HfGPJDGE0zQ1xjCTR1B5KcZjzk2JmnMoGEEEfZ6Y2IoFt
4aChjpZ9QtXxrS694bV3x3Hj5CaxxhmI1WrmSu0U73FMRXUNjTlaqq0ZvXZFDFyNn8dOFr2pPnZN
IO5rv23vRJE86HMvrzDSHZZSiNLMRYJ3RD6V8Gduie6GfAJfRQn3+AKSmjC+JtMcEcv/A7YaO0Tj
kZy6lVUOWvNYB4dbcgUGApUDlNnA8bZm2TAzqKmyarSue0zwvluodS++tUF5F/PrCBYlAvNJUoQL
VDoPo9EHP9pJg9gfROaTOt2cFwZK8pOJ+tlvTeOlbLFF6LI8XMui5/UdGvY8aedW/iyBBeTNf375
2X9799mGQYBYh4OJ79DfSBaamGAp2JXyKLxcA9uEw8dYTf2tKrJk3+ALvAGxXDz6BcsSU8+cXyW4
wKDlIb70HYEWX43JDcsCukdl/oiPR4qXsmFfumcqilTy0ikY8/2573xpa+YDN36rL89ciRyd0gVi
z4eWiO973Wr7oSuSb23Tm8uojfOTmdT6rmDfsQsKLT4FALexfimCbxgzHAIW5XJQL3CyKgZwGrhC
LvR5JiitLHp0AnTx5+w8pjPRY4JapOSWyrY/pTHBJPVP6c84UC7O/yErA2Tu60YJzrABjUgFTqci
rfIFRkf4xjeBEzqPBqndVYITTfmSWv4CiFmyBSjWHFxVAI+Wp3VHOrKdD+eW3ByxaZDltCETiR3E
MsgskKT2dJQ4FwmHkWdfMDFfikJYI+oRrW3uQOuiDdRhijGQT3vAp5tFp9t3B02pnGs0ift1g7TG
E1IlAVZ6fOGYecCHsn7JQZkSMciJu41qsOeXg5ok4LEMXePJSUuW+umtriNF3AmxdvWGp6QKZms/
wDCQ+b87rT29elrbLGEjW/fqmIBMTyL72MamskNuQL3C/CI8ImqO6csklL0Xms94M2NUBsjmmhCd
dwAfGiP/PAk0qRE/Bv0yvmOpGLcmPxDweOA9+vhJJLibRV79MYhAeHQexLa1+jNolEiBGqmuOtWj
86B4vtO8bTrfydcV8aj6NikSAEDb3vSyNRZwYfQ8tcF3WP3atTCSeD+Vscdilyhj47OWxeQp2Jlz
DLIyVNR2q9E7xyCRl8JyLpqeytRaIZKuAnPV7Ney/93MTMUWidpNTTxl51qxM1dXRlycAjN5zZzM
Rx4NuHzT6C/IGPo3skoeZNHL0g2B9/j6S73Z6AgH47m7zsf7pDPGQzhrH5IBAc8/n10Osi4J+nKX
5PgYIlfOvk19yJMZcJz61rU2R5AdGzyt7ub2td7b+pNsHTvVuq69B0TTmys9S4yXZPI2JOnsB3Vw
wrs6FA/pTOMvzMbbaVliY1uOCbPSoQcEzSffCeLvK/nUau6Y77zR7c5F2ZrZ5ZWvjVurbH9bJeIL
A1TLDWEcmyqKSqwdEXV17v3ilzE6ynXjjc5RLnBDbRM5anU8r3l1124novN6vyI4zXImQd1NqDHq
aU0IupqlGrvMYAVjKLwu4zB7sKb4c/3Erm/Irexh7m91mfdm6tfpCEcza5HUSLpwbcpPFGXlFUt/
dyWMXt2hz8w/IAunRda27hEv3OJJaYO13GeOeVdeZcSHlyLRu4dxCMtt6RrI8c+JQj/BgiVLTHwL
+Mpe8vhUqtr4DPrs8bxuB+tlrCZDUTesjZ195nfK0e1btpeYK79abXLC2bp77+Nyb2e59SaSIQYo
7kW3WB77V57S4I4UeOZ9ms/WvWBVfrU4CCfN7xy26lte3BMMxpX9z4mifK353JSDXogXn/vkVeu8
qcgzyJQD2Jc5R+QQbp1/TnlDykiPtGAjW3uELqpi/IHMcj6yV/f5dy4hg7Y3aeQk151VRGivNc5b
l9XrJm21n1nRqUiIJ9NdyiIJIKCNdHokvKes7R9ljzqL2LBG6VNbptUW75PoSku76r6bg2+yhwP3
q7T68Vgyp63amfJXzwehQodWwwzrGy0c2dfbMZWObSzTzomfsiG6MfS0OsmXT0GJAeVJ/ozntkup
NYJPpT/jfJ8f4n9++3uq8/f3/wy3IfOjkaj7uxaSYSmNEqjD+Dh5+1rRRHcVZWCSPM/sV30R42c5
QoyQZ0HnswEyYamv4sZXwJL1sxsPsj/Qi5HdITZxwDkcufJQfUycxFvbTFW4/bbxxvZzosIztFiC
jOOZZtoW6BNVSA5EiBodbGbWZ8f0nnM30W9lSQ2GhZHHj0lE1Eazc3/PvF2vgtyx3hBY+eUAlLsr
Pdwwkwkf9AyNgJvRUypiEMNd2PYN8g3dLwul2reayBrYhX58iY0uWuImdUrGQNwUMaIzkesWN7Xn
+LtYE81Vze40Yw+5HrsKBxtdna7TqPumTXr/MFa5jg95H2xsj6xCybvul2c3C4PvbpdosbKrkJUe
a3TgMjMr+T4CYyU0r/6u8bTn6L2/mKPpbxF0ybd2VXZ3oV0eU6C8b2lmrGReSW2hBo+iCE9OXN0J
JYyvhiGyD5g5WecDr08QikWF3NrM9J6Z8f1vofO+JUMTVd5rWPgIbRpqfXCdsb0lJcartIsw8rCG
alMnvolnSxcshV+5G1eAKFhAIEK1qUuce+y/bg1gcN81ADOLoixw0nZKjDymcYN93kto5f0P140K
vMnqZo2Zdry1a1VbMgOIF8+2o9k1oP8ZoH5TB5UIF53x2Oem99vqlTs2xbuW7PxqdGAsjAkGOq3W
LkQWutvEbL1DMTTDznaVvT8V+VobIVRhF7hQQVe/YJA5bDCqsjeF37EDz9tbvQS/1wA6/NEl4uSS
bH0n5UTMxsHQ2w/dDYzddp8Ci5F6DXT4S9ghH6ce2kJ6PQRhfCcPVaVqByUBwjdXJYpSL6PMxWPe
KrSjcEb4B6J8HdzyVNl5+Qgq91HDIvgWHrP6VCjacxFozo0elw3uhfUJIgCQ/iyO2cK9x2qXX6tR
cO+hzHMVOBkujnVUmNcKAWhvPYV29oZBlbUtO7XeyCKuOLduyfbQ1ntx09ktRh5Knr+ZShytarUL
D7rXHYFpuuCfURGTDJrQ46yCNp2UYbDNRvFRLxsTgpiEa+Yusoza2DfFKfJV749PZEby2yqNn1id
NDfjEPMkTULbY6DdP6suMzXQcOwNo/4X711xl7m9cRwGZ2elZoiJnI0kMGd3slEdfXHXD46zL6fk
BzlGeggEkXBEQJfsXI5QxEX5X8dBbcgxAiCy/MwyplsDvee1Nhdtw8avydO6qxx95k3kleNSYIAL
A9M28sP51DE7tkmsuFxMzalNAl5Qrq4sQ3FTitDDi3c8VWNs3bpZu2X3uTY941chNFZ4cftDmFZ/
mtqsXOqFW2Oo8jZBhvwZs9MZu7j5LcwH4TriqUlC77ryJ9RfqhRaRdJBIomZ0pHw83eqiDKsDpjT
saYrT/l85pjaKWPSP8gq2dij7b4VwgiWsgi4KbtRtPpHQkq4aBzrsU5mN7DGrpey6EQBVphu8j1W
cvsRbWFxn3VYd8ylskBzA5fnbj2og3I9zQfQZB9naWL0Wwzrvl+qLt0ufT00YUhtcPc/Ix27OYDi
/V35pbsfqia+cjHNQdRjyHaRqQVHEUXNNqyN5IZU4rgxSqO6ndzaWXsZSl5CBCePN/OuyIrsgB5x
i3266e26qHCvDZRSN/qoTrcDDpxrH/DHfTclSE+bQn0s0ztc6kEduFjOoGuNd5xZ11cxlqa3Y4Tp
aO6l9Zvu50e14klPUrAFWt58i+sOnwLHyE5Yp5o7gFTqri+7BHtoHbodUdQrvJhj1BiU+ZUhKpwB
DO27zcZCV2v73S2zB401xLIhKngShrJGS6z8bUIqC5kL34KeT4ivdXGy8qjb1SM2pTxK20R3xXaw
wMqoDj7KpR3qL6rV/NDtLP6d20dQmkhk8TCfbHLPb05olMuq15p71N26TZW2xbU71AcvJifoB0pz
gmHULfOGTEBVYK9U1Om7GrLN8nLWJDZWYhvohcVhmgzrqIMjWYWe0F5NMR6JgbgkKj2NKXvTYKP1
PQqtaS1ctdoTpnTu80a8w61goiRrz464se+yposPBtYOazfrx5sMs9dFb1k/Yq0MoGXg1amFbbe1
A5ZIsIbvOlC6Pz1gcgstz8b7MTMFCPNa3dR5370QniBBQo9oXji7VZHd6aIpwAE0O9UJ0itn8rCV
nWKstKIu2Y5qa996MNtXkZgZ40Ps7UY9Gq/zEjj+MHu3WiZWIw425AnaIsIQCwMXmEUwtOkxQgMD
g8m6XUtwV8B3ubJFVF1J6FeHsDlIEbe9ka1N5y46NE1xCOrze9UvCJm21sGq+3RpmL246joNax5X
y98gYryTdRlOlQe1ozDCX9E851pYaZUQcTGNIQ47ejh09RhRb4c+ye8DXXjEK7vmp+3ViHl22rtC
yqJSI+epUs1prWnJmztiklHkhnfK5gMSSWKhx/xQfVvRlQWBIG011U65Dv3aO8mOnmebWzc2vcWl
DnEF+C0WE8t8FdkttQb75J6vfb5YamvbAFRDL6aXUQnCtVuU+RFLG+0AP5D1c2+k117sfXMSwztG
BvvrsHmYDCNa6pOOYK2HTlHt7x3P1Y4lBBU850KEpVpE8b200a/yPh1vy/kQ7fIxyzdsjqNdyU5h
Zdqd/oLc6XejHobf5OfwAiFsGbDbrpUUs9vWK9aC2DfTZRpMeyVlojYV625gHtmpoxKv0srWnuw4
cHZ+ouTopMxOHlr6CmYmXU1uw4JLLcfryQc9khmWs4ltY0D+L8H7Ux2d66LqOkzz2u4B66JsJ+su
B61x/+rSuDpxNRzSIeA0iII0zYvbCOwqHTN67hF1X/WZZZwSL2SLChYCPPc2NiYoAhASwPegxSL0
SmAk2B5FbbAFJEL1kJFnWiCrM1zJOi0zbGxvWkjFinuK8Xp7JxeFC8Ky9QP3PjBYJUe6+l3Fam0P
8hRbVwWmycJHOzka59BEpQgWgsmr0kTpm1BDAOvAgWbgsksAPNyDSu9RGjDsZTK49doGQ2+FEQlJ
/Iav1XLIr/AW53koVWVVOZNOas/z70dH3Ac2cjOWHYTw1BUCLEm39bW6uCOeBiVZqXJ4bC3CPzar
Jii19ZNdjPFxIK5BKKStn5KycG+8xHzk92M/TiNsHgR9/tL4cWa9vwsVrGIXt6p6EsBS4kc2xFXj
37TlT1mww1BdF45IVo5TT6cEJUyMS9oBZsLsSiPr0Gvb6qkL9mIuygZ2C6jcKaj4UVOKOFmqVs4C
eBYuGDynuu669OMMT9VkjXKLhdGkmI2I5j7nU2Yiflep2m+QzEe6xEL1RVGhdmea5x/lgZ+Bd9XB
tDJQhztatc0LIMOFpVLwSiuYFlnBOncazrILn2/myqot507WtW6BF3Ez7YrY1dGThNnVpTZZ+AFB
BnyY4JiMN2SdjJM6jtbS8MPgLuRTb0dnTHd4v5IOCCbYaOMcQrgFwbrqLdXkNQ1y0yt1uDix+dZD
6juG/a/RKEi0dmO58VwCt5hYOfvGb1iLzWdaggDiuVKW5aF1bsjyjpu+i9o1YVNSFCVMSKGkb1iC
Jd8wE5g17ZT2mfleW7axHzyARYnWZlz7t7bKjyJKvrO5IgHf1YD3O4tXy1yUB+HpoGotj+gAvDaa
9MGx97lYKSLVT0ZzH5kNxEbVRjzP5wtG1ArlZNWr0yvf1gX8DQ2f4nIiHmAmVrqKJgUjuflQhVAC
WW11Gy1QP+rqtutI2OjV1ZDW5rmf0LQbEnr2dVJY3qZEe3jVORqO4RGRFg8N60cttJt70YiFigju
o+n0ay9Rlbt5oe53jfZigFi9JkDgn4tWmeEINooYu9cyxr+2xwGjRP5/i4hmSi62+On6cYFzgBB7
njVMiFtzuLPQQluOXjptLc93D0mtPIdxkdwLGJJmV+NgNo413jkupKdWuykDpX70DGEtezSqmWEp
4sLib7We0Izf+jdWAagK6pZ/k8f2Lw1nv5cAz8urSMWYqvKC5MWGLbM2RRPtZCuMCORzQrMEvUIr
NhMITSXKg+qa6j3vD2AsVA9OD28xLOyFzUbz4CiY25a9Zewso0lX6MDZMKaSBslN0GPwwO2njFAC
/hWuuiKuT+uoatuy4PWuJI5FiGWW0AEmioksY3WvD7alVnbr89gO0Blve+J8c2dWeM2mmEDGy9ak
J/ZnjlN1LgLT4oU1DupGds5FSn5zMFEUme+rBhgk17jRbc9jh8FfOSS0t7Kz0c8esqHrn1tTu8Gr
2c6q3XlsJEi89aSE5J+Al7ayJMOabDHj2VmO19/2SN9vsmgqsR0/gD6JHpVm2WuqeFQwoH7M6uEZ
FpV3LHB93VU95E3FGMRt16I4G/Ue3CElss91rfa9mpD2OFf1iBXcmCSbcd9GaipmxwzQPNy7whW3
8hp5HaWo1uXR1s2HJUZVgiVe5KyAT6eHIID4DevtZ05w6ntZhjpmfIZ1m/lWvMPyad+2U3bqrOSp
U5PgBT6yvsfXAsVrbwhe6qRtN8Tax41sBTzQLMkRenvZWpj1Q9YU/SmIXOO5w4AvC3Z6WKirUlg1
mm82tofwVreYsfLecnGl3nsl7iDr2HL+Ok3nU5zPKn35qcOnUzPTyk0yEj4IrHsfEuYzBoFk1k1g
vIMXPBv82u78tNjLkmIJ8zYOxntZiqccFaJc/JSlmj8a+nZUkW6twuepRkTFHcjRyavG7WRsfJAp
q9hWjNvRVz8OpnLlKCK4vVSz4C/3qR88yU6X+tTstHU4kin+0lAEsbqofNgCl86yC/EI9joo0Yo/
t/N7NoxWrWlP8OE3kWjHN3ey/dXUAmoetVw9qjrhLrDTKxe1PvjvGIlFswuKPOCr9HGWGpbL453z
DnfwP5Gt2p+ztMi89dBDKPnSIDvLVtEpwadWyD7Yr9iiISpB7PV81aZxF2kzAdzrIBUTYBmnfI/g
68chZqmwT+eDPLs0XPpdGr70+y+6XC4/AYjH226+8WWcLF76XO70X3T5cqnL2H/8lP94t8snuHT5
cvkmmIF5X5q/3OlymcuH+XKZS5f/7fv4x8v85zvJYfJTav1Ybbowur/8CbL+UvzHW/xjl0vDly/i
f7/U5c/4cqnLF/Y/3e3LJ/ifxv7n7+UfL/WfPynyDjWrQ6NYIhDC0i6aH0N5+A/lT02kohiVp+7H
qHO5M5PifJVz+Tzg07B/ewdZKS/1edQ/f6LLXS99VPLO0/rS8vlK/7/3ZzPD1luYMavzyx3PVz3f
53Lfz7X/v/c93/HzXyLv3sKBsCrRby53vXyqL3WX4tcP+o9DZMOnj365hGxJ53/5lzrZ8F/U/Rdd
/vdLganvViMOPwszHpubbgiddQ0ifimLYT9LBph5A3KHVjBa1lKtXH+luE2hb9MGU7+m9lhRzs2y
4zAGYOIAr1xDUq/3eoFn00o2B/3aNFPvCOYXBp2s6icvPVQeq8BSL7GTHg3shkkq4RFaLUkzAL2c
7drOZm7S101ausHZQ5RdnlrDlCjLi9Gb7nwMvFRdrOB834gxNWjS737UKFcmDg9LjIeTLTkp4lFq
VtyDytyZVd7eILaU3ytEX64trz3JNtmr4sndeHY9rKCF5/eym55gJRYSbNnLLrqvskTKWZpyVdkh
LQswXGYMWHC+iWz4L++uu/3JsXSfIOq/ubM3oryk+z+C3CACl7sCw+uCLaKN9sdRljGbxPg09T6a
Lw3mny62qdClGOhSiI9hcqw8yH7en6tYVRJuChPyrlbCaDHqmCyAPJUHooTIzF/KnzolrnsEfTlu
P40BefpX90+1yGOn7nIwVKzbG2Q0cXmzb3otcm7kWYp8bN/n3fFLPQuiaMX6lN/QlwFDG173SYBa
w1/XkD3koWR7iwqU3W8vdfIsTJ1+Bw3y/Uu9vEjZuIe6nOy9bJRVTio2mTqKqwq8PZhJ8oQYOVl8
Rc4yt2vvXC8bZb08uxyA19kHWZykAJ48dUmm+HX8MVYOa8zIX0VG3eJ5lg0bIAD9Moon3Vugr9ec
FhW2xh6mRgq/WiDUhO3sYRN7RXsSgdqeaq109k7vPsqqSz3yW49W1rrsNegqDxlw5I1tBv1ynEfK
uvM95JUulfI++OeO5/vIBrWcXrOibraSpivP0IG6++DrfqHuIsLnlYtz2/lccnYlexdhf9AO7cpD
WT0kh7tXW8NIsTGpsmavVIrNua+o9b+ct5pRq0vZ3W/rfji0mm4vggYX9CY2PrjTidJ5LtEN2NGX
g1E2yK0TzZdVn7p8ZV7L9iB2IV1/6moovpDDJREb+YJFhNQmxmnErE0DojTuyPYhnEEROESq37IC
daBZzPbSI7Q1DdsHfN71qy+gnyQDfL6Rlc7sFgr/1SIAsir+YIPQNMLnOSBzNEcAeVLuI7KoSI//
JZCH/0qGr1zbn0XzSukIMvdryYad+wG1wDfdbhuk48rmblYo2ERtHa9CnF1Qn3WSHDhIFq+E79V3
5f+j7cqa41Sa7C8iAijWV6D3brVaki3ZL4SXe9n3pSh+/ZxKdIUs+1smYuaFoDKzirbcDVTmyXO4
aG9k06RtQFM3JIeQo93SmNwf1pnU9NoNYXQYrY6fR9Uczy5HhdijcQrRmZOj31VDNZXB4kDyCXiA
yR6+x+CXRuFeH6GgEdXBusJQpq9rfbDFcr1Qv/tgttRE2Sn6dBveVELfPVdeVUTbcPaRQ9DePWGW
xw5KgKclhsbvZi4PGR4mqh8B9OSjww8KBwoqpkWePHP0he1KKTZHh/ztTJCo3Dom98izZcYHOw2x
gx53QP6/dHxwZg+JT3RNuWhiLoxEuayHMuxeh0bUewNgImdykn2ZO6Ibx4/mdt6s05BVD4OxbjR/
0Ssw0HCINigOMkCDJQlAwFqzUezuCxNDER370uZnyMJjY5p0zSGd8+aQsdxRH7iJ3IEK1XefYloZ
mFGrgnCBjB5QdUMe8o5MTqxXPl5GOehBOk0tfFe3oDgx2fMejzntimZW/UpnBXRA9TkZLqtdh3Tb
udBNcBch1FUBqvW0qTZ3Nj42WvxgXA9I6+FfAtR3kCjgml3cieGCqvLtahTdyUtOlYKSDK62foC4
Lbvz2BnL1d7Zy7wBOga6eHzWD3OeNDvkqdVHdyhAVKmE1k8djLrxUPDvTl9yv0VT/334Fpswe/4Q
y+2XFpfJGyhiRBpKAEMHcrTc7ZBOKqM9A18TX9yNlSAjCaTDq61CY1U1NSC5ljOWybQOj2VSr4kd
r5OeFjxmWkArWlO8p5CPU+TaaK1NoNuDGeStzCbIdduerCsw6+XG6SAVgf8666cVo09Ey5pvsZWC
18Ps8mvTZtD+hZjh1kSfyxPFEl3Lr7HqOJso0wD6oOit4tkaHknUM9CBgBfNMBmGEkasMvCqkZe6
DchrOwA6kJfmVgPqkKrLDLf1Q6zjG6iTe62kdEe+Hhn4BvipdUjeRpLBk7eoQOzcGgA0dRp0GtzB
M8IcjToopl7pbHWstlh6geDQdlaKbgWKowOHnsbiQO/GzxkVvplzFFHXCXSJDyvRJQTYTqDpgYUp
eL12Lj8U0FfdpQGsidlGvbEE4HiJNaVf0AcFRmb1S4Q/AIqFCcQi+KB9aUwNIKtaPIqKoz9PyXJU
wiPti12qNoqfaniJ8lmFACK+sHI6rVr2ZXuYkO/971YNJx3cGIoCim28PB5M7pg7LRzRmQ18lgf+
sPGc6En0HNfzIWqQ7e+ddH6qmsqfJDEa+ueqO30Ac3sko9C0iHdnC5Jy5HUzvcE/BUuSl5ZEVx4/
kzcx1HdLlqJEoRhrOH31EyWFHBUGtwKC3h4eVEjGHAYntrbgm7c+K3NyR8/hNSIH8PNQJ7a5jTsT
shkG2Km4185ms6P35DlN2MmwS//DuzKaKvEGPqsqO5npq/fVRp6ka995xITHj7e8qqPgs2dV95hJ
+UaW52DRMbpjr3KF370NURSNLnSYS/uA5uj6YimQlMBC1b7TnOSBDi4AHnUGLB6NwG2hXxqjP7HR
gN5bIYppVwx8xE0WE2b8/h/sIu99SYG/q0BFB024Xj3W/WBfKEToIb+znHm3TtCtOdvjDoquepqA
VmbT7yGAs8Qs152za11V8bIIA73jNRYofNKnsAHDh2x7aHoUSwegpvMA2Ca+NeTys+LU/gRdq0cl
D9QUlN7V0PFHEbW6n3AI35JtAuL2DFTUT1fyvZKpqQxQBRXqxZYmDnT6NmstvEXKYY1N3wMzX8hH
4UaKPlK3QMtOr4bGURThF3CH8JMbRfwkwgkodDqlA27vigJlsreAj1HNm4diaBhWfdR4NAbVWbLR
zXlc1lxjiioVob/OpnXNVrx+jmUJGteF/aTyNtp9CLE6FU/UyP0Umy1IvQfXODqjkgA7OKs4pcM6
Jj9FktsGVdZrJI2tNXJxUSgKEsLXIvCMUBCtQWfrJaEupTD/j1ejSOxRY7AOApmo6t10tUEwGKST
lm1oOLoxbCObrqMz2x4HB8X2gyPk+c8Y9ZbDR3s1HeO60E5t2eYWBPGwyOQ86qLmd5Ee9QAnFfbW
xc7yBlmi1gvbmR9oSIdscB5UY0zPNGrSVLsN5hSU0Au8VnLkGlF0Q2PmOqUBC8dlGMx9KLo58d2h
B8uAW3zT0P6d+OB4mfET0UH2R9PlhScj5tsuKYBTalof8B5+a201fkQjAHCV4SMdWGr1QBCZ4TGX
NqcDUHWeFcjzySGq9cO1jPRjY7ivE/QREAYTWh9kQitasbHnEbSxMh7Y2/I8VvbfazxaAwHvsiAw
IQOasRF+NMZiT8O5rweA0azEp6Hi5OyhrD8XWf56NbAiNUhfWvaB5X0G1E3FkLRxpHQAuERT/MvS
KADFOkQDpC2pTICI17FxYGiUg9oSAkIZQFE0pANLrBQ4mioKPjjWIdT3jG1sWsAIfmaaA6VDwSKI
3TkoNk1QIjIBfAx63s1bVOEhPuQk8U1NHC8VdfGbl+YaEFWk2Jw50SPNR3P/x/kUEYOcdolYr/B2
fXKuawAUDC5fgNBdiDVtzRgcXlkLFQvPQvPOxVH6DTozIhAJmPxH26fRMZUYa4+iByuxfRGz6Z4O
PVhTL3XYgda+F/elhSaPIg2LHX0mUExDVMtsz8vIQRmtU8zJy+jP8ealT1f8wZsjJfZu7iDncvmn
K9XM3KNWHaHDKUfrTVa3R8AFwS0FAOzDFPt5Igv+0lKpqXu0pvJvci1BbThs8sZJNuuciFe5J8bo
dR1ygMz4/3Gd9drTf/48wzirPjPBUNbkJjtXnb4bU9089CHD+1Y+juwsGiyDV6+cnXOLpccJLcBQ
ZmFnMnHyLjEU3qApZ6P1LnpJ5BSKpLVpqEzQ/wqaCIRPfdaIDRnJvVyRwic0IW3QfNV6iZNkr3fp
WgDn49UGE3uomm0gdpsYPpIaxjFpChPQbdzz+wiPPIiEYezS/Z38yOUIZ1M3fb9/fa8Jp+SALJ9y
hx9IdHWG3NlOVc/AdfyPTZUOyN2iM6fVF3sJ5h2IJcsQKJi/jLpZH2g+mWiChq9PgG8KaFHkfHLw
sXDOli6UbVpM6Ofg9RlYieY8a2Z9/tOQHBQiwGpttTNaa/9zLK2UJ9E32wIjWms91gpTfDozAFpZ
zkppq3PFfKSz/yIOkkwKUMFIZjr55gM3Fg11wHiVMgFgVr7HkYkObTxG72S4c0AL8pCBtq2ILpod
ofkM9WXDKIBxngwGAHP6yKQ5LIbsKLCX9mloNmi9B0eSAgDzXD3rGpLwyAKBcFQG441+WWPGO819
asePEZqVnnHI8LM18B4DhQurgPTIrqrthy60IOiyDtEcchgjEJrslM5dvBHIym6pZZhnUIRP9zNo
UkzBhhNI0MR9aODQJQpYsJtED+yxxs1rSq3sPDuvE2gWHRyWL1NpRPMnM0s3NqA0Qe00OXKdg9hV
WsJuNRqtNkONPJlhmlB3kbZQMXq/rqxuCSGHwAIemNnKY62Lv4bI1I5IDbMbSE2PahqrF23oncSv
ngV6xW69dImhVy6aNe17ZrsJhLQLccwU/e8l0kCzFtDpRuXTNdcPk0fg+k4Bi6mBYT+RPe/d3m8g
8bFbllo/DLnpA6Z2vnyQdbnqWXMz+1CmegTCBGzsmNxZOoky7gH1R9+Wgi29txo1MQN3S/tFCgfm
G5EgrV9i1iVWx2pbl4FeY+rN+J1C6376jBTaMxoqlae+EuauGox63xdt/gQmv+86gI8/fg2YEghe
tBHSMkQFJFT0yTAQeREZoBpbLLCa4v3QkEMKJi8Fr0PyfphbWYCn98BY+3ww2aXIgAeaQucF+FYt
PEYa6NLRxAOWr7ZWBNI0qXFBbpddKLqb+iBrGT9V/d95ZRrHGBRPJ3SS4r+qUSBLjc7QqgWJGKyQ
EpxOSAmRV8gQOqND26FJavF8HFtJz47W+AOitBb6omUcLUdjJJEGtEI3x1REoGuPsrFAGzQObNZi
ZT81SNjPeI74o9mUzt95bhQnoIFrpD6Tojh1QET5mR1qPk3qnNzdJMOQ4N2qtBVDyqWha50LdABK
kUI5BGuUuLpxOEAH0H31murY3mZIA1zQgPeMXWf1MhTp7GlVEj4PA+BI2liJ57BJTM/tu/I5tCEc
XVWRCxWFTvEUEz27A0NHE8oG7lGDQNTSp22kabgMNaJ6AA3Nu+Hqpb66/3ZunkeJb3NsyXvZ/ckG
wGNYm2h4V3DtiyXZTlA+A4pdoGZ44lGzIdsEyOUcLG45pRgrbdPKFQw0dG1cTW83TqvUe9CnOJsM
bbtf9Cz93KHF4KaOjX7lRZN7ZC+L0QgKFTByV4J60f6MVzPtJZybHlJJgNQBrpV9QXdb53WRG94B
Czg/1Ep/I3ukF802Dw0TiTFcJOn67WAATtSDZ/M5+cridPrJ5whyBbit3ca6n/dQP2n2qlFED9gO
AkNvldbP5Kveg/+EIkFvJm5WClqY1zdr8E2i8wmq3AEoLHL0QL0pQJIRrQb5Rgg7vwCNZ1/LRlF8
JTLxNHs7i0qkSsmWvJ2t3uUsnarLUIIcK4msW4y31wO+i+yODmhiN+7MNITuNrSfvQ8OGoo0vNV1
4Rwodo0AzzsyYSYwp2MePYDcr3zU2jzdhCpg/1WHxrFUqWvfHO38Rz+l/myI6WsEfdjN3GbvIzpZ
Ivm3EcQTlaeJXyQxhK0iBQ0fJag2d2C3KfArUtT4GsoNRxe7dmCq4ARbdMxi2pzYchtC/jBCf4OS
mCcXnKFD4EoHed3cwY8mby9CqVs0hcg9zbtpcm3UgKdT1176JCt+6CMSvqxx6wcBYOKBO4q+neZa
+YwM1hLB0PTjFQLEQ1aKlqgS9WFN8q1D7PcbSs/aCcy6/QN4FMUduM/3rMTH9tVKVFtT6DygWDow
Nf8GCjvtRKNmSGb0VI578Ll399hc+uPcoiwZQo63h2DYS98hD1cxZEfmrhefbL0MqAUa9KjYDkNO
JaAuZ0e3Nc+xLPWCBkU/j7VReUxCITZg3a8sdMqAFpcOsaWqR8WUB2DNC9xFcApsraGjpWD4XuDe
iEqB9FC47Gn/V6dlBBnvFu2w6HttxHRL5P0aZF8maji5iW09GhfKv+awL7erKPsM3C30mRuoPQt7
T/aPuu0UUqZsOuUiNrwZLBwBBZJjXYrOoqzbpW9LfQjLnKviakWX7EC5oqdBX5hB31vlvVnn2Gga
Wbpr9T4POj3BTlPN0Tg/qFCKN9rvvC7crT6qM6QI7PaWTUV3I1vvjrM/KROkJqXjX9pUORcdfmhN
XWNoSt523B/EpAVUeFwJopey5bs6Zgz1om3I+SeqWi7uhTv69/OlvGkwiAovnNNDNVjbsRo+OUkA
8kvP1Kf8wgVEKTeZglZPu/xtSPK0JUeGLh/73SJt+09oL3uRSc72zU4r0ojsFPG2NNkNKZD0Fk+X
pFD3q9WAgKmWrNV0gAyvtenGdvZWG51J/syLXrmgsaUY0wEvIfr1X+f1DkdTEEXyrIGUFs/sTdVk
72PWFXsQr+1QjfoJvQTr2DTm3fL3oCFYr9AWHb1+XvqYqLItYWR3ShtVgLepy5A8H2zI+H4Lo7bx
NJ2rm67HnY3YBeqO/QSgfrxGgBYDwwrtS8lB0EVNcTYM8IRSFE2yoxHsC9L7+6S+yy6vpRIt0aaN
a5Rod6szAQ0pKAV6WW1NFxpHkMfZjgKlRLIpMuZ9ILquN7hb2ctsciMnrKGyiPwbsNcMxEPpXwYq
bwelFOyeDnM/2oHNu2iz2lq016GECPnXolQNbIvHKOBSOIwOyFaDb7VFzrucQjA4SuGw2MoYdBG/
UsA78zBqW9DZFj7Z1jWQkwPuqbPtZQ1yWKXmXvQIr5ryUsPb9YACyrfzbPCPDrxz/EDpdTysizcu
fga1MeDL5+p7MCiBEuZNzJXpFfqsbePalf/owsoAMpHaKx1S+72JQuVEgJXNZSJFva21Lv/rWqLq
X9wk1Y6OHnu2ZXYPdEi1ythFWji86tr0FUiR9Nk1DoOa9w/jWLj3YxHLHBW0ZHjEjV2oInoZI3GF
WnypvUbbaMe5r7CV+Ri9Xo9mqHJ9sgljcu8nrE+jodaekyJ+nrLEvk0cr3tNxuIDDal1x53tE7rQ
ugv18BSpG91S7UQDCorBTI9eRuMpkX0/ZEd0uMtGoKZaE81g/gDpvEDr8MuhGRSDDuTXS61LyUvZ
SOJeKEzrq/gWtujzk2uo6Lw6c1ymcGVlSw3LbaTGAFkAp38fF+NdO+fiRCY61GB12tlzpoPMEWHI
PIJLPkWcagI8kCl2c2wmI7WbrVaN1p62Ehk94uiUDuBwDINe0zSPtilko20Jna22dcYHGy1goOrn
qU41bGI0gAIyBL6wd6RhaBa1D62aQ4lB0omh3fWVMKwS7cY0dVBkjhAX3Cron9y2skA6Z3WxRZtB
tm1kNXX1ikj/MWlA0KCkl/joU7I3H2DyNCRvjZLj4l1h8gSnR5U2XuZ+cCxLSW8245sMbUNkt9BF
BE2jz3MNpq5QA6O/M2rm53DQv0KQqbySc+h1DyR5+lNTtO6D0OMdmeMCQnyMow930hPr81Sp3aFU
6ywgrxl1yiZyIeVLw9BuXi+wLDnZHy6AYuK7CyRO52xBZQrUK9pc+rMZZz6GSLvQsDAB6BOa7ufZ
eASBp3MeQgGtaDNJvjdo5Jh18J9CCM7Ycr2yQGpRZZ8mBRrRMgAAShtkFxG7rjMhDxh/bzRsgt3Q
eMnnwtxC3AVfKxOs9flUgB9GYlZGCXZZD2QrpYp16pa71e4mLd82AEoizwVxsA9TaagQmFLORZ8u
9KLeFhYPaYIvkzlEbe0NUp+CDlY1IFFFp20KCFYvD6ubbGKO4mDmSASR4+MSyzp1i0IxstAB01vr
vB74MHbHsQZ06c0eAY10ZhOI9oJ/TtFyOM7du5iqT6Zd1rvfxwga2uBK1i+tsqUBqKFjtGDgdXyx
N8WO7GShs17O4VmnX/Bus5ojCEqC0w5F1l8Wfbfeav9l0QiCWGPZJY7t6+icknsK2oCYoWPtpin7
umxRqHAiDx/2H2gUfoHoF/C00gl8mQ616gnZ4l9jbblaEydflx0QeZf9zNjwAIAm55SyokFKp2wf
uxwNfKoyoxmlaGzwCDf2k7DQmQ7Cmr8hYed80nD/RA5PC89z2rYnnQEICf0i9oi/OfdipVd/Kv2V
dL7kHLPRX+eEmhKeuyhpT3NWiY3GhS+KCrtiZLS/9rg/eyNIXK5tN4LOQ42w+4qL+Wtng/sBfJHC
zztwOdpcVAEqKukV0OPpYDlC2el2V90czW2w80EfFnNBtyzJw0TC76ex018+TNL6VgHbqlHd+ha8
B47Q7YPBXVFAdQIvkOgPau1tZpbsc9ZOd7lw8h8Zy9BJibe3B/BrtugxRUSsqOxzy8c7yp/9KeJt
jX8ZgSY2xy/RBRw4Q/YJvBSQe5YQhmGjorr12RRdiwaw+IkAFVWsWscJHFsLzKGoGaCeUMPYsgns
VQP4dnc1K0e/qgz9SEiItEyWRWl+H9CiAmhJWpQwFGjstJdFB00MmxSiJYAW411Ftfl9pDblGdoG
2IFAnGwZooe+uxFvrAYTcidgWJEmsktTm6rlmZZ4W4dMEPT07VTR8GcGfb8F0CMar0DyEZ1nS8+u
nRTSG+K4/DFAbzzuXfermNUwyLHRWiLMXh29GCAdF0i7rdWlaKB6y6eCDqC7VnWuwQEZOUH509Vo
ggcbMpcKti40G0WbxtPB+SAfyJEVVNOM9JooimtRg0u0lXxvQ5NOAFT97mgtBXsJ6YiQUVtmZKOL
b7F0RGltnHUGHuLLhFRVUXVq9/ia3+HMLrYTCtSkdxeEo1C/9dkzlEKLH8j0qX7iivlOA77pjAZ2
UIS9BpRjsmlzBXg+JXV2oh+2ptrbJ0uEph0gXZJtS1AnAmWkJYs7UXT7lODfA/oh6FXmaL075Dqa
2OlfBpj1hgH9/zxMYPpY7eDG2Rh5Fj//Id6Sdj1xKyAbO3CRVaD3yLMWv1KZk6Sx6kSth7KxCUE7
5C7cWps8wyp6SMY27LlD5aXtkYREcuAubofaI5ZN8KyA0koB3yENDUi8/9tJjWYAnFeKC5JUFehv
5UEBTyXghdDP6Od/bNKRQqYMijAcsCfV2giwG9ea05zTTohbLA/lZG66ugK7uxzRAYB/I+nw0ikt
bjGo1wG1YhqB0hF8HED2QRI5Oq2mdGqLEx/VL2SigzW41cFR9X6Z2SVtfChb8y9I9AwncH9CxmiY
shHioNXggwjdRI2J18i3SyN5KJLOlnAaG1HxV5mrKvAy2XTGlknbNPPIPcJaahzdN3gvh4fGFENn
dABLGngLsvNqBn0vAJz1MLxOaDtIbDezes10G1JGSu/auCcrOv5yQxtuRBM5QZox8dSNMfKopnvT
VWC54qkGe6ilKSdyzlxV0VAJoXXyOo7Z7CFaHfrkdfCouVjC/obOYvFkggv6EXIAVdu2g1+1yrXh
4BajyMpEd3YjSvVA6+gtfjqdycWGvHo38KOGflewYeITAceR3qd6faRlKQJISBD2Kc0DjZISRJTY
cjZnWg05qwEk9o0AjZYFvVEDenimNmIbNsf6pxDNrCh4JKCJghLpnuOLfGCg0b2gKxu35jaqnxqQ
Y3gqhzJbhT9aiIRPBLmgLlCjdNoPUQnAhcypYjut+UkSN2DFw7DQq5h5QDNkFzyUwNdSG2i2UQw7
SPtU8/Ow+CUwtiECEDbFVi0bqADLEpwiS3ChLM3lyAG549TfkYmcVgcCG9U1+JYiyGENIHKi+WRb
F9HMARjdYrgju9opHJI00MxCv752boem3NdxeAtnxQD1F1FaRYUOIisNHKlzmP4o8CwHuYr0xJ2L
U2jBZFsL2sEeGcHdjHA6XUJBXVluhgFlKchTB677HFe9uK4pAKEYaAsIE2VPiQNyJJ0xQQi7awPc
YNk9OXK9Q8270p5BkJEf7aoqceNz9Z1RDO5d3UPXoDATCCqE8+yrrZ0+99ypPHsuwm+N09xxjoS8
N81fa2z48FetenSQjM1fmVF8NnlWfh0U/Neif1l8wn6gCOIy727DWCEhYJjaxYmneS8iezg2qsuh
yqv/duVqMt5f2ZRXVuL6rhYV8ixV/hVF+/dXHofsc1oXqp+Wxnidk3ILEjOwcc+GsjMqoXxjHN9z
d8h0kGG3zgYU/+4ZPf/jEXV0bcd4qt5nIDTz7a6pX8xueJagbcz/G9RGqHTO2TdFU9TnaLSzQMeP
/j7KQ2WH/u30mGRpd5n6dN6Y7lw92XEIwujY0L5DSOP1Y2j4GEoYRd8HhiTgh48hZve3j5EYTvXL
x2jxYnNheE/2hwm/54ZDvgJFiOIJVLDVjfW4rciR4ao4AMtX2qK8IxPetrrA7diwoyFNj2dglWjY
s2mZjr5uu/PlVDQGoMccpMj2bCTByGLzMay04oadFIAJvfkIPQHzcYxkEgYiSCeytVEkUb+S6wok
x49AGBU3K3ydDkkw1BMTE9kEY1DPQ2+8Hjp5lgH+bikj0KVyZCXjjNxKzpA4lR6Q80C1R1MPKlgq
A9J1MDRkF1ACmc9gg4WmnvqDzFAXhVSMjCKdGooqZyHOdaPe8N4S+kldgw9TcKM9j5JBhQ56P454
PwYZdAL6x8PqgDQCotW3aDG1m6oP95DrHHyG/NmBind5Bu4rMEw4IEMFzpq84Lx2D1T4K/QZcrwO
6GWtMNwswIGZx7EXhtzZVYnWsoD03jVphKaCsyNhdxKLpzPy6mBx83rpbXpgZwbeQ3UdJGHXOWZP
OrHUypGw1CeisCWfHK0+Gam+Rf46DwLDS2TNWoZGMsDCQm6KTdaDQ4leAZe3QTJOSQ2dEPmySKVy
OizRRs/Q5YvS/HpwhSI2osbbL4+tfWooDCCFRHwFsCuoczd7Fklbo9UPduKmzRIXTBZNvtgdIRnG
nFB8lfY1XtONv/D6xnEPQ+5lkoztdOgzHd0ifEiQboNt9UYyrrD7GWAH2i2WeRHfRRoeXH3P0Wkh
yzyuG0bBxAr9SNUdu7qfZ9E9f4jidipri8ccO/ibgv+0gVkoXDiJbQROGaPAKYVZOeumWyPwX0pl
jVHHno3KaxNT7FtuqOwRLDsbBc8baKaYw1nJsV8jpRo91/A6p8doIpI6NpB9KQFNj7sTefvcPArQ
VjxEUWzQGmQeIS16jgusQUsy5MGAR8oKr4irDApWQ/xYi6YB/Q6ASg1L4scKxP0ga3H8eQL7rN+w
EZqGYWhvG8N69WbYVtNUMv1pvowgp40Gu40JTRr0DrR2X8t/SrcQmNuV0ZzxT+kWznLVjNszeWdZ
GScvquMIjsFvvnrp10TD2Nbfz/1TMP3WcFfLzvxUJvbkl5arPCmR+O1MTPqrjb+dfYhTUmi5T107
7boyY6d4ckC6I7+0wEE8iHoSj+bYs1M9iByqhvhytqD7Zti9vLPTlzn8J56n4AKdx4pb6qa2bCSI
QGJymrtYPwm9twJIwjOPbKvjT0PkEvTGo3mrm5WzFfQxFLI/ODS5fo4nbtA7DBJfihZf6VBU+RP6
V20gHv8x0Rl43VwfvPH5piK9TDLWaQfaFMsBBdqv0UkMsHtufV/NTETJeoXCrl6vYJvAbknWONfX
ozjf0Iw12FKKx4gXB0UByya6l1KvKaZ020PlE1pyjn7oZ7W5U2WlV4kL96QOgBjISi+etN1Dh5wT
ZBYa6LbKCHIUnXHQ0EO2TEJ78RB0EDcT2hzeQY6095Tcrb/0NcqRpl7EpyIc62fokS32VkClCIJE
xqbJ2uZLjXdVTauqB1aGYCsqBJDG0j7K6eiAitbpDSRXHyNr+AyRiyqA9l72yFWkW+iMbFzahLTR
2f9NnFIhvVCq4JqepljzXTaDbl/e0czdPIr+xdBjcRIqMMtkzfJC8yeOO0odM+hXbIYZJNguRHgU
EORt2y7VdiR0MdvsztQq9SErpuw+6fSfZKYoJ3HUXWkY4kVGqa69YwXwMJViPOJdszxpJm4CqMeb
j2Sr4jiY0OR4YyYzH1MINQc2UNc7iqAJhkC6UwrAPpJNThgtsLcueQBHjxKA+LINWLvjZ8Cl20M4
tvomlqkvG3azN9/bK2yLvsr4P9n5nEN9tgm9eIqHu6zkzjbTx2pTlXHxCTSGbA9dStePw774xOMW
Tct2ZHuKi2E6h0hK1KDHpGCNgc9nLPgdObM6nR8ykJBFeHXi0NkKiqjSn/SBJzdu93w/ZpajIg1n
9ccaD8vc41oUHgy208yuG3+SQ6lAd3Uq9Kk/LuGQ7YPeDESogJ5qwMIy19OdkVTDcx9Yk8GfVaXr
ITg15R4No3qQDJMKZGClF6qkNcQV0MpCw2KCgllk8kdUpt2bM1gXMuOvC4aiCCD3OmuxpAMVtAJC
MHvy2pr4Ghqi32Y59nfr4xbZkVx4CTIk0AJ49ximp+368A2njWzqfRdAvpgUWOCcIfOyPKtpoo4c
dAIypLMBdnfsITW+HWWVrRim/iGZw20/xNGVTIPqQO84bn+Sj0zrpNX266R+mpuTNvCfFP+/nZQM
QIuB7QEfbegc5Ent6eqmEaAedcdZ81200UlJ8bb5WIZ99VRm4d+afOtq7DbxHLxMXkAnyJah9euQ
vGswMlbdZR3yDB1nWh41gascQkN2Fk/Mme8xiqjPePzjiNll6fHcah4ACdF9s4j1m6NrYgtZ6fYM
IrjxyDuI5bi2012RX2aBAsDEp7mBkIaomva708SHTgPe1qsA5wY/AYRCC/Ydyjvxi6Xbup+h3LYs
OSqS9tEuX5fkMwBLAzdfl0RL+TnCdzfpO/6iVPoIakacCfTgedA54C9lh2vSGZe2P8ZVbAZNrAvC
Un/qi3hL2mAh0ioXywbFRQPi5A0N26GFUDgUOUkpjDTD6kK3L292khazkMDAwzhL8S54cUrIBns4
MUI8fzxIdSwn713/JkYF4Oc4zgnbRgMbgni2w0PiuuLFhpz1wKv6c6dV6SUHQ7Q3QdfjhcKSJFMO
4AiGzqZhe7U+uvs008NdjGbFAI3JxibhNf6v63weAlbl0P2gseiNAbQihrGZICoEXVBr3jDV3gHL
9DM0RXQg3nqArvornb3ZVxPZZ1Nb4oninkymBIxMsOOpGh3ITiZy/kf7h/XxHX/3eX5dnz6nS4iO
t7W5bm5ddLVtNcUy8IX85zCCyFbow3UoM/C+N9xB6aJMv7fMDrMNsO3I/7QDSEbkhCWGzSmEXlIb
qjAp7tK/L7Va3pZbpqeg9LWmAgrhUg3BqEz5Lepq39WcfEs20k4YwHx6x3PVY6MOXmw8SpkRaQeU
RtUFN8ad3PDMzhkuNljmPyUNe30Ap/Vr2AIjk2FuXw0XsIZYn7J/wuZ++m21X8NoehVG+C+28O1n
MzbGUGC69rUJTXrW2LekS4wb0J4c/cP4olfqOe/BbEGRncH6vWUxB1yJOjYlMr6dE1Adxi24bilG
KKbltR3QdDpqLEuMvALYl813V1CDJTzn4XwGbcQ9RdOyk4v7FluKQ2o3HScbqBUjVIp9Dh3Mz2qN
kkRoh9GFhqD627VFnzwqUKR7LAQLhOxxzXKmo+upqzwazrPG9iBjVhdvPsUAwkxluScvLRlDcONC
Q7mkyMHJR0uWoNfJh6i/mFEIWhTFRbIi9nXKm8hD1xaAiUMO7ky5lCGqZ2jiJdGWhloW85OuQrNo
bOLyKULd6NHIl1QKBbQNKJ/X6V3XqL5rDxutZ1ApjFL3NjVoVdOlWmjNR9BO2D2AxsMI9offI7jT
n9oJj/oPEUBOIS0uSx5/WMPG/j2YEgZ9eLyzFPoGSBykVCxm4DhL2v0xVbZEpL/YFj9I9UGy37Rg
gTVLRduZjYGqhA5WU5TTmrNNQ5RMliEhbAhTE3NzMa2YmrdJjSyDUdSbiUYU+jZRRzvCOY7QSp3q
/8Paly1JqivLfhFmzMNrkvNYc3X1C9Yjg5gFSPD1xxXUKmr17n2OXbP7gqFQSGRWJSBFeLhXtz5n
J8gPeo+ABnuPnmm+oIyrvYAk1oNkeeNvEN+WG+rsPC24jAhZdaqTTGWZXysvN8FKi9EsdbINSurb
LQ33dW5gJ9p+n0erQZDS2AHen96RSfcHLKpA/LyjTyAHvz8l0ANeUS/NYSIHV+rmcE8mUWuoIBIe
29NHgLp2c3RMVwcA5J9PBNIfqH5pD2Tp9AKqT9P3KEuHAwXgOAhyd1PT13MAT6RWd8WL9p466UeG
bCxE37Pknn5gCetQ9vHv4byo63XimqBvLpl/SPEeAHbXP3RBUzw5ZlY+FVgnWZLJW9xY+I07ph06
ZsL31AmE9LS3QJQQ0oCP4XheFSBxHb2N71bZ1bIeCTRh4iW0BqR3AvsO+O5Zg6RyK2T6HTS439we
+j4gGgkORQI1Ri/Pja8YSP00cKw1f+1kAM2Ua03PzIOjIPiG1ox7pMUNBb3g98gLO6uobvOtD9YC
ARmkLz1LLbCd5shgqMxip6RclB3IWvOT/d/+yBlezKBN+gNKlyUgrAxIBRX5+yMGWHtpHVopEhpL
x6dgYUuRQE+AVbNM8QwfhgpcGiK6h4pXdO8ayLJgeRzsBsjY3oMjADF/F6Vfwg/O5GFGmXEn+2/T
6DhZmAeJq+jDf0WecLPQUezArZqSfGkOmtJpWmj2qSs0g4ngbQ/17mhA0Zva2eG55ELGL+4O1GxN
fZ2AFfY5xc4Dy5b/dKNXxeBAQTsour+6NWo2AjJ/uKl9zDwb2emiWm/z5aI0Wz+AUXlgAsAJCJPt
uomxE3TB8lNhaPZuBArhlogKMPbK8B/7CKHrxnSqNzNN3tJE1L+aDHp3zJPJypKAQLdJ9asPmrdR
S8q3oikzSOMw73E0cTPXWpLfIFDxfpXGkJ+v4tpptkEerAX98dfG0t9ZY6A0LU7AbBFHzCcztCFn
Wpm/2WiQouDwYyME+NXf5Ii9PUIkpjo6SNlAmMexH8kW8y+dsIcHYeB1EDiQHW4ncGEt/pC+AqSR
61iltkZ7Px9eh26CaGll3zmjdI+WWqy6wG5sDTZmSGNP/IZkuwTa9d/GWTyejJbyzDb2UXLf/1kx
/ayD5WQ58VxjtgT/nPzLp8qC8SXtmq+0RqbVMi2UxwFi8zzSD2QXgX9LLB/Yh3x662PIDizhXQoD
K7ttQuzcduMtVR6M4qWOoVQBqQhjnSLPCMm5bLpaEddDcnCCF9Y1dpiUKFZveZyHfNLj7ZQ69lUD
4nY+GIGZnANub4YiQniLOshFQG4pLHGTbck2oP5vrTtpDGG6nt8GAbqQzmFyW5Ucf7+m0hCA5OMR
i8bxC9hzPUhUOtqxV03T3DaB9F5rkNecHB/qfYnSjjaKyQt7Dgr/ydNKMGHVv+rR0r6qE5/V7ycG
+HEZhyCIYyC7WBq58dL4XbdOem7fhAFtAdamxREJAzA6RFOwqU2oImRGVIZ5DfKdWMnTleqs94H2
BpAHbd1A0i+TurH57z7kSIcsA9tJoryXyegsKb6VZRdgu2Wdacs5VMl0Z2rTmWTIWGaOd6qPdpjU
15r4tajN6Uff/zYOfChguZf21xayDCsQHyWPiRX529EHxkaAxvBiZkG66RtuvFRa/62oJNTMU/Dg
YVX3A3TP1kqqQZr5zyCAb+UFBT0ZmDU1/WWSch4EWdV5UFshoAW4iRYN7JQ2jhbmk8hCxJzYKY4k
SNqpp4uy8f2UuiamI4DiFNPRkkiglaqsstJQCJ4aEF6HFlh6DiIwaGgFbx80O6vDqubJ17EQN89B
rddqEN8G7ne/UDL1O/Ed/8XLLfAw+9K+MU9n0H3iyRF/2frCRsvccNv3Hs2Mv6ZRvJtU/ogOohoD
YGsS1I1TO7eQLmaOPBqUgfrk89Gd+Ml4pFanQ3G+G4NpR5CgSkKnfGgR0ZsRQgo+BEqWv9u4CwYK
EqUmZ/KTH2MJdUTzkd9/nc9psUb3WXcG/wbKU3RPWy8RlsHWn8CSDsyNCtKUNkCBleOCqkyho9WB
BkXQdtostikLrob2tcG2+5j6QY1dsq5J/A3j9dyUonBvoygyVO6mAcIFIE5K1YE6wGQXrSynTHaf
vLFaXrdjPlwWZ8dTxN6sfvzkBiH3dCOdogUX+CsIYoILr2rHWnWIBxwCK3qtTTO6jhz7ljXg91vX
AgPZ7IKaq2mVpZGGp8tYrIEngqjB8nySZl6DzHpDD6aO7PbY29cy74q1UM7UE+XIwK10DoBgxmfn
Px5+NHthWgbIFlGWrtgOXUWPGJsl6jLpVCfiw6WLjMLIbKD6gM1QQ0gD75NfMhhVsiZHJzVQHmTV
nnUwbTHb5hmssd63kGmzk1VRF5CbMAz7LmVTs3fSLj+UljPeJghBQiMua94k5B49LdZ++aLZu5Xp
fe28QoY0qHCzZi9yA8wjQT/eLEw5Dyp090JPBLvs9ogRufOgCLi2uyAbNyYU+laFqlRwVaUCHWrZ
hAhaBRfLFgZwNWprD66NBPRXKD0AIeO7H3ZNYC7hdQO8OUI+q4/BepWKHfTRIG+MdM4NmGF5K5ho
LqYLhXpuFi7Ed0CBoqfteKwC/Z5arjLRGXhL8n3vqvIENZQmoY5Si9lWrwG/86K2fJ8lyPNubfaI
pKaGH6Wb0sZGUzIThITLpZBbwqcBgmZPs8kx20dZxq8cpAob3xfphu6oSt1Welo+QsnNPFOrjYLu
UjY9eP/QR4eg0cXGBeJik1XBuw2Vq/dRpfnzvYiq2vJST9aN/OlWBHk838SJaDbLRCLidxZkiy80
D4LDoN8YvQxBJlCq1Ir/ymDpby4y784ZIN7NI7DWk527jhcarWGe2riUz2aW7LrRN95yYUDJumzH
HbkxpNBzAxv7dhrM43+bdjK1euUK0HDRtEUkyqNFsMBW6609qgajTeFM3ZZYyKiZIbb+qZmoJlGW
6W0TbZbeSCAooZe/Y7wWngdoCh05w7ekpp0gWl65PgoRVG/mKI7IpAYuUTX1DNhDrmj6qYmUQXph
dcfmZjwK/RLX2q95JmQ8rllcfqNWzB3nOnT6izdN03NX8u6mQUeM+hLDSu7aPLhSnwRy8a4dLXAG
4Ipg1GjuscDaRyBYeU61SQOmaNxSXzGYxoMLwkAa1zt9+zh2aUh99RSnT27xu8YvbycyYN37qBwe
RVEy0HLlw8lV5E6ADVv7zLRraOmAL2p2QTVNYznOPbWyMjeBAUyNLTUHAxjukgVXatGgEgv0FQIE
w4maNKXn9/cey55GRXuSDy170FTUtqwTe4cFxgC5m6Q+SNTuX8kFSZnkCg2KwzKgK7i+QyEAEBRq
Ejr0RcrnSeKiGQ4WoMsrMEwESGXX7iprAqCZa9vWVqbmJBDZ4sHa7qfors6r6A7Vkvk+hbzRSief
xkSZXVn3V+qlAzmPxzKI3bvZibV4uLT4DczzsgBMSbrD4v0yaLlWqS5jZKCwDVjprFFwBQxJEOvm
ycEf52MtUIgUaG1qf3r7y3TMN72HIHjd6busz4e9i2qhxzhxfibZVPwo9QCZA696LkCX9jcH1nrP
wVjVswNevMO+HrHpUjPk2Cw9eOCRWaUuNO1LI64vXq5ZrybfTlGRvtaNbK4yjYHTVua+FMmOATi+
RTLKel0GvTexWs8QyZqm6jS/GaUZ4B5JkwrlfZBH+nToIwDekmGEyi86WvVupTPIvHtXbHhSSwZr
sgSmiXUOq6pdlJdQw3PsALKuOd843MyeeYGlYNrF3c8KsSrNtO3fHGms2huzN6dDUCMHPhs77R7b
Qyy/j0bdothODY8gdjMPn3y9fUbKY9hkOVb7rcJCuAofwVsbr0uvv1LL08GmMHWMh8ZoAN+hentf
vPfGMcrlG6cCYkoN/Rgf+LLc6gEYTFNQWCMWgEL4QZWg5BZoVXCDPCJv74MrCnuBwTP1r714ov4I
3G5r0wqmEw3M1cBODWwm+dTk6Xj0VFlF0/nl1VFn1IzdCPdpNJyNCVrbYOEAP2NTiTO5kcekxdWu
60EWewD4qA99p2iQ8Ry1uTYgyrNqlRq6uDMGv74C+6IBzYrUqSvqCr/PWomT/jPCillwD0JAcJjn
9g+P+/xEL6e+TYMrZNB2XYI3fdia8bAFk167XpZ6aoAr8u5EJgGavq3uWwBJIzzKM1d+jfL6AOId
7ZfhGGcIl05vHMwCoYd6/xt4s7S90+vDHuWlQG2qQZ6DusVMbw6TTKrbFNnlio1lcslVVSpLAY8W
kASaWx92hzslXxeiOJYWuBQXkhnAQqHro/Ue2FX18kgdOX5emyq3keM3Iyi59vp4acCQ9tr/roXR
v8amjMGRC1a0oAmsVw7+r21mCLklJ7C2vo8x3cZ+NX7Ycb4XTZne942VPJqFBWB8roO+qs3Sx5xX
7RlPnDfqnJKkvoCi+lJKNz9bI8vXUMaFwKJqBj3egCs6pUOkZXiEqZ5RMvR4EO5UQj3uhoyD8x2Q
uPzeHr3mmgM/uuqGQP+StFJbV41ZHqjJkLGAOqZ4ZobaggFnu0rADPMlyhoJbIXuH7zEz06oOnVD
LIdWPeP8ZSri5KJrYwACXcAAICTbrbXKj4+Vaio3rtz0uEkuiFdCEy1ukQwDCmsNKpvkSM0PN0PN
BrAYuNEIVDC131HZAYatuvoWuIipq4h5prcCSKvev8qgrM6oiHPXHx5ISaAEIBMidJVH1IFSnjyg
SVR9i5v3OchDg+IcuIjAkYwHkv7QIZm2mRrUgMiqMR5QSm885DzYtohS3sijSDMLiINArhCdAs+u
l7nTCk+b8UDOtoXCbD62wFxhKI1o1ZwIR7YbuxJTEdautpWD82ZCU+vAQMe06hQzjDNF9YmaEKmx
np2evzdjOabbFKXKa9lwd1+XEAyjvbqLb73nlUjXtJGnXmrSbn1xtjsRnRDUyVaU1ersDlTBWTls
09bXAFIu+iO3Lf+kA7U1Z8dYBEouiQwrDSA7pc7aUaa7ERigeaZlwJ9zIlIEVcI1S7DsMXMA3ZJi
YHcBwxtNTt59E5UwAUNwkqb/dTENmQtJBLsQYdzlfRZ6ScHXmdax7dyu40lxlqfWYW4bEV6+TVVe
aYqqcNndKHvsD9Vg4O3m+XOU2IKkTh7z9FTEgp2x2nk/TH4GsM+f7aSqh1PRnshOI7oosECjqhPV
jHX1FNh8GiIIBnuopbQizVyRzVEd+PdXYQlQ1GahAaEzhNGRRgXSLkmLx8kZnSfJAZMZ01vPNeeJ
LJY2HUAf0d9xZRosvVllde+dyKNERmLdciihtVrrYkWFUknegEOKhiaQkj2iGCtYURMlscb1/7iS
ZzX9XQqIS4ssfNDnDiqlp6Y4deqQSgvtfkwKYIam4kRn1F3ZvQQ5sSXB2/gxJiZ36ifPeqrB5/Pn
KfVr7dBsIKWV7uw8ZmvSDT8Uqjqsxu9kbba6uPQA4F+cPGfrXDetk3SrXzxi/dkQ/fshzuz+TDbX
B7+eY+cn6pyURw+2BsTRPlyoR6KCDpTO4FUrtPslTTUNXnLSx+aNf1SW20gzkInSVHTQOlBUKi9q
kSsNnJJuHjhntP6Za5n+33OR/eOKy1zmP1ekmc2ytE6oxcbjEw+jhqHylhC8/kcT2x3zOevwWFl6
sZz43KReJMST3GwvtqOJizR5dMCr7diZGRA7ZJtPfQBUDplhHMlGh9KtUc+sDigzAEnpa9JhBwHe
Lu6Nzxrg936mvdZdU30vLf/Vxw/hO6ig5xPgSeeTf3XpkfReIJVxVN2lGvl/TPH/3QcSYKjyAn/3
xukd59xI114R0UOR5Mm2hU7tzA5heVB2qWvduXb4yi+m/5ROpvX6t0GRb7YzO8R/DpJZbb3Glp2e
RYniy77Q5B0dutTLoZUZLpYJgbg7N1ULcpYo0VddsVmWtbEzUuxRXWGMn4bmfahFTRXNUw4GuDp0
qYIS6goqpnfXRImxYxGIYMlmI0O5ajuvBDVoWW8G1NQfIo/nL6M27crGBKhV2XWLBYtdxNW73QNj
26EBvu7FqbCH/LAv/v+2Vw3q1yh7NSe+VPYKlJfQZB7nZFkD2tpzH7RPS/4sH8xmNzi+DJf8mUAK
E1HY1N8uSbHejt/y2JYnMs32JKwiVJRRzm3SInZOrPppuXSPB86uaZIxXKZpo+Hz1NQxGvk8NU2k
g8r5rnfNcDJQIcjdCYHBHJCUa167bqi1vEAdgIyucw+eUOMBdS3PhbKRX2tGUFAEgmRHM8xjaYKP
WQTYfVDQpCb9OGB5Os+0mJY5m5Tt8L7xTtQJHNhD5uT9eUAZ/1oWHlbcaiEzrzzw4qtHG6lZZfLB
M72v8hFUXapJyxWnjJFrExE7kc31QXAAUPiNOmc3Na+LVPh2sZXm72VabfQ/T0uDAg3BrExwhn0U
lkE07QBGa+qkQ/cxbcSxVRhrrKpkpzmHusPKjtYzfgwcBDVpPUNN1x8ECpGQmlia1ItaNtwv7OzH
2PUMqCDeRXL6FnTYEsWePpxBKI41HrU9ZaQzOqRRCYlY1u5oaASWdbw21BBqLzNEFQj+raF9+MM+
z/zpImMepCvPL8UWIY7hIL340bQH/asHIdYgctIfRZ8NYSsz/wrB3+4MGg+UE45V8M1oLuTgQJU4
rDxwyjeyri8ldETW1OFCAqhAwX1bNWu3EeklSOLimkzAHiC1lf5wzaehNqZvForS19CxLdWyOdoh
RYzYA4dwJ96549dCt/kqZVZ8V5aufaUObAFQW6E6NJTYzR21Bv7lyEQdhWyOnpGAWtFRECjJxQPZ
ROcAZTcO40ODyODWijVxi/LEvBmtfs/VojZDKolaotOSrQbGfCgCQ+Qx9jzziKjKgYpalkIXakLd
2TmC/HzuJH+y02FEaunopO7+T7uaFuzQ2rEyuv0nf2WnC7BJS04oyJk7/xiO6l3kj3Uxf7yl3obc
AIksT1Od75ZpTWDqL5kvwkbj8uK6SOhIYPJvQ4TXNQrN0gfOAsB+Kyg2yDYoQ8M26lePtyjjE23+
1feBAhCi/BEwkCeVbv+7t8s1Y4UH/dAHJIMy7FJyHtaBFf1G6gww7px9l+lP1Og1z3bfj5sEj8Zz
o5fVyUB2dTv5NhaVIB9YxYXf/bDMONSmvPgNDu6X3hnt10CTCO4j8n51NV0/VDZK9z3sye6z0h9C
0enG19EeDsI18t+6Nx37MWi+ArQJgS6wH3o9XyVimB51s8x2kd2wY+NxdrP9JF4bwSC+Akm/G2uW
/9LH5EufZ+PLIOSI3adRngOjt8+4s6uNN3jVq9cjHKhcrW46pJ6fnJo2dcI6znpQYDv8lPrG9Nhx
4xE8Hc5XaDRDzSmyuzP0w+oH0LR9Jzu+DKIyQyMuJWjr7lueAEid+mstQHEdCDDjq1aU6aUxEmz2
LWv43jobN0vLHwDXQCZLOZjcHXeooUw2mcnKOxS/lHdVhAIvBBxqxOud4s6A9pq/qgt84im/kQk1
XBoy0yKwkpXUqn2sddlWKNAH/tXavenn6QphY3G01Htv7ohQLTBF1R21EjeqLoWZXJZBeYW3/pik
IPH8mKhEwniNmynbagQRwYL6fWLy8RKDrwq//UFkb5Pi46xZP566YlU6ivJtJn6bj+RDh0/tWsbT
iQPr2hv+ERI2K8cFi0eVW9cZszBBGgPBgWxLGIe4NPkFBRov1EkmNzEupjW8+3Mg3JEmi52T1vpO
SHQUdtV+qVLbeDARNDv/xT405Wd7ZnZfnJy/+zcAAIXEXoHfzZcgyswHGaOaao5kldHA3/ldkQQ5
ey64QQmTQKVqBfgXurYD90Rk3+EPUz0PkGTadyjh3najZXyZ8OCNey/5jlcY6FM4085j70w3qFT7
IMpAQbIaiZxu9SzVSF4hMBS79TySHJwIRWA00gKi4tZnEB33/hlJ19Q9QBRppJP4+hcO8BE5YKWH
2ot4U8St/QCEeLbFPyM4C5aCbxji1XuLWzXyAokFtfBehx61BXpVy2Q/IF20HWtvilGTmGzA0WX8
yGxUFgIxm704ky7WgSnMWyVibTdMQ3d0m248I88O8XGvah4aPOZRnjeUb1hGPEUM4N5V8jD1LRjD
aq9WqiL2G9f0MvzbZ5t66z8+W1zrnz5bqmkQ2VW1X1S6lUhehNxKuuNcnKWaQM13Ryr74qb2gDoS
fqgFY2KFyCoo5Chc57des7FSMAbMRhdp240vE22FNHaJXWvnbSXEzMJERvirk5FXKd7RsXOelIqX
VIey170tjyF27tVyZ0mvPGqAhFyE28sLndGhzyowlEWuu146mib6nnI9WhWtJ7dWFlsH36uTB39U
JW0jqH6BPDmjxLN+JY/RtkzkN61nVP+IEHrs8VHiUWItaf1PMf75lJwmOFEKwMtSZytkgm0/2OhG
BHcdz0cNSpRvGgUr5hbvVkYHZOAAWNCT6wAibbPpC7lFOmhOnbpGBG7AXiNNu+7aKbchRi2fGv43
N4k7f1cCiggZK69/botih1Ju5PVw521NJ5l2hWqKvA4z6Ia8srLRj8x0ITuuTfqb7shfYxb4d0g0
yxvYtFGxrvwtI3BD3nvIXKlpi77ckf+Yee/TVogb76cCle2g1gbD7tYHZixEdjE90NaWmrWeZYd5
46t6UbGRfmoilpkeskZHJrpBdalPwNU4dYaVYQzOJigD/ewQ2hUvicHdojzj7v2KUKc5xR3iNPlk
dmcUmYBeogBR9RkCnZG5jWsUlVeeFFvqp4Pmpd8ytzZ3sjR71LDgkJbxcKl4U6GUP3fAIOO7ckXG
tOLvPpbb92HNObK/yps6ei+W4L+E0gKrkbyF1np/6UUEMCH0pcKugkSjYEDzI3WPU6y8ui0Y37qV
j9CkXJGxVT105gMpc6ga77bYa8ME9cfc21trowbQUGJl4OA1fuJ0o+EWSi4ds3HP0WniP9ZWnkHh
DHFzOiBHlQuEdP9pd+AXKsHrT5ZPI6k9sdSAZnlIcy1jICSEULw6mIVnbWyZu/kV9GDdVgcX+LU2
Iuui98+GgnvRgcx0NiXCCt1sLDcpVioe9iCRf57iIiQXRrYxKFvo9yT2ZpmhTfVn7E4S0PT5fbnS
oEp2DNSBzmLmdCWYFFwYsZ8LNmTtptYGfFd5OZ4NpXM+7smHTLZT/TOaplza5EPNqiocO1x6XMOr
1oYLQclWIGEkyvT9kCEa2aJeHu1c+g0Ih+Jfsy2nHnJ3Wq/aDoX2myKQn4KULE2h8pOAPL0Dmv2M
vePnaOYfwU0a7Dvxs5ZqL0BBWxdTAz+gsJIRSvFjdmnGvAT3Uq/dowjNDJsuMRHjyeMVGCPLnzJm
G4AUS2A/UgjXOFHyq8+a71Xsdl/aEXl7zU30Byx4fHBPch3/x4od8NIawILToprfYxsXL1fcD06J
v0UmxvN8qlm9djRarKlK1qCSSPXQwRVAZo2gxZPYDXapiaI90GG8AXh5D7HO9tGf6uCMYsE2JLvW
g3yxapPmxiJrugscifWLGpCAKwAZo8o52agvfvIryOkKvXyOq6ldSTDynekwCq046+qw2KjZi56H
Tm5uqwmAcFHyC3fj6jkACvaB+1Gom20CXMu6dcv82ZFd9YzIK+CNdf9AjnGVX4GS8m/UarP2pyyb
cZ4EenWgVc0T3IdqzkptaPEgEgdq5pMzrYEFsnfU7Pwa6UEEuLfUHNOIYzfW+mtLXRRcoekB2Q0r
pF5k4rVjU4Hegnp9d0gvXYcVKvXq0mxvCBncUyeWrumqdkZ9X2iaNYFtmbUoyGiPHRYHCCUVLLrg
txVd6EwT9RfwZYu9aVTOtDKbaEAAfgQTvFFgY1hAmVmd0SGGKsAxSnFYmn/zW4bRCHKhYUvz/32q
5ZJ/TPXHJ1iu8YcfdXhc9IfBeIwSiCxrUAmpVnS6HED84awrq5YrCCXkp6XDS0FJ31TFP0OovXT7
asalSWd/XiDvkJE0PLAc/u/TJM3HB6Or0CeZjctVyei2jV2tXNu4n/oUezf1IZYh1Jxd6JSG1HX2
CuXN5qBZaXXXQRrSQSroXCrGTjrUowMUiBbV4Wha7zZBZxnbahA1uozqDgA2uufbtmeolfgYSyOq
DGg56ZmXxT7pqN2ecjyJ6KpLxwh6HeEKdi39BCvzPhncDavTIJyv+DExolQo3AaHt6Br532JXXJj
ZOt5Khqc9G+5J5LbPFXeG/UmSbVmdgm04GqBhGgHhon+6PZ6f5zPvHx4P/uLjVykb3s5bmyMo0P5
cbbYXDXNMit1LLYGLKFhZuOOB71b8FAPHripEjCpUzNyWPDQm5DQFsy8JcqjgbzaPumcIaTOxvaD
hwrxlqIR+mUeJHooBaKIB5EvQETLnpc337KuoElpftaTc9Vcvf5p99418XBSwuJHGT97aQ5upkCP
Dl4rnwmQTjD0WGHREQmY7YuJPMheNNMNVeYrfcSGIHeyOxDo2fdZmnlXPJA21KKDNoHNObe6n8MY
M2T6OiDy6qDhoe9GYDHwivjU5rbazzfuW/dxxjLj3UZnQ267b0ky5iu9Kry3uTfe6UbwyPqe3TuO
w+7Be+2eeTedyARxCHbfAYh/i/Asg2qejENyG4b7BGRMd+RFh67le2ZV4kItmWbsvi2r18orwaSh
ZiaT5OCscDUzPiy2obLa0M90tiMX6sj7AkUXFYp4yEZzJg3kROPOZuvlqrHXWzsmwUC9zBdbuXnw
DAm8luHjA2fV5J9st7unYfSVgItooFRaf5rdaEDDm80fYfkKDDtKAfav62Iqo/ZOBl5yXj5Z70Xp
ygBNImpS8QcjX+620UrTXO/Tt2rMCDBSE3RV5EKHYAIHCDe4MX8rmtQbAojuFUUfLpfVu9Lfaw1w
68s3HdpBO+q++LL84RAgBe9/nx+WTydLJ7hV8RvNNf8PA1mrqOt4m5tTbR/BsCFUMY04eCZEErSq
kN8y3j2ZecGeMkg2Hj1dB0JX2aFnZ2lVd52wDgf40+fbDlRGB7+o7eceRHfkpLumEXau3l5Sy9HW
mlMVqx4CfI+DNF5EN5YXoVpuHUxbYEXAnNwExmPryvbOB+lV5zPjkUyDAWqvuIjTE9nkENf7Iq30
cB7gmPGjNLZR3xtg4gRED+vqITvQ5ODEZUdERYwVNWlAgB+L5hrynkzDhFBiLod2R5Oj2qQ4Z1b5
izrp42qpcUIKN77NV+8sAbRZ6m5oMt9j4qrb9ZX86RBk2beKecaZWhLLw13kmQPoRPCFJk3G90Cq
rKmTTBUkMld2G8kjNdlUW3svRbCOXOgjCFTG6dMjGTQPGi9BM+l7+gCg9dCPcS+xlcSeSqSvemoN
95Pt9Xf1JH5GIgi+QNp93EARcNzHEs2k19Yg3QJGMwuCc90WUOBDBfUX8BTaoMQtulM9pICumfez
eYACX9804AtBjCZ833GDQm0/4/QWbD5D6uM0lPXqE1DPyjjExA3rQcPHruPolfLXsV5+73lfPdVI
su17DokfRGmDJ+VAqW2sAb/b/KuGIOf3zAEAkgn7N7PyW5eP5lufdSP0QM3y3rXSYec3pjxGjcsQ
p2A6WANt+cRGKOOWEOj8oYZDo9T+nWK4VyAYjJ9otI2sHD+NXEdJgqojT30NzBYGQ/FZnsgXaFSA
yxn2xU2o6vM88JBGREBtdnNRe09uqI54n21UbstsafYjIqIDSB6PoPlGeYe2KsafhZcAXRqYr5Ad
bgBKNIo9lx17aQb77NVG8h31PHlYAx597T1Tv1TGiNSaNabfP0aKHGIUNLJyY8C2LUtfa1mGBFFc
5i90VsYum8/EX2x/84t1Q8dzs84/5dk01xpPYAbbf8rqzTk2Z3zUnMk9UHpt7vWQJds4WoMyk48c
HTnTLHnD92SXWb4qJyR2r/VQ1zsX9AOvZlHPfFZu7hsbZvntASgkiPPm1cxnhbU07FkHAm0z0F6U
v484GarUAFNwxgo8ymYtzI3CzoeJG4AHu0nYf2mLMOtXUdpHp4BBdgRQGVZdi8lBwsUQa+pAnrC6
ptAQtNbZJNfAUEWnxS0anWQ7xrkXShvVnAJAjVNfDMNTIsxyA5YyuZ2bE4jYbLfFRzK94akXxgQC
1/xMnXQQHgjDUNR1Ty2aTTLjfTbbEO+zxZYWb4e+7BDx8k22Is4syA+dhW+0V2pxPef7LCjakJp0
QJAXxJwxv9pNAMCm8uAgEAttJSVCtr/MMXuoAf+e429XsRpov9YDuCeT0a4fNWaciJshgjrpnqHW
aiPVTQGNvlTFosWtgWj3oy2mkw7x1w0ejt4p4XESdv5knzmrrBcddOkzbV1fVkewUNbrGKi5L+QW
5Y19NvR455vVgKJ69zvdMZxDuKJBzOK+0/Xu1MWDv9Zjln7vi0vVWMHXgYF2deqm9KgXefmoBlJ/
yypo6JiAC1kpcw8sxzwuN92fMQI+SdKJ78iWinCwg+SO+YYBMdcJLKNW9T+EfVlznMi27l/ZsZ8P
cRJIILlxz32oouZBUkmyLL8Qst0mmZJ5/PX3y1XqXbLdp9vhIMgJSlQBmWt9wwwT5fS9rwNHlg52
jCowkTztodAL7Q/OgpH2bCxVB9UJhAuwd23Ve7Z8c9oRLu4CNCG9gShmF20aAHo3TsuRlO3wJGox
jYC+vzdvfDxnHioPqXWtl3b9MmQ7BY2LoCt9l5nskwc4y2kPrnvHZ86XDFq7MFMcvljzyJZdmgzw
0ouGbev2xpYh03k3gBK+RF5ufq3G8Uga2r6CemdcDF9YlcEOEvwLY0jyJwXqPajb2IvqEraheCQ/
GUn3XndrpT3FWLMaVA1lII4HJSga+Z4+cuhm2dGt6rfrJ9Z/iltC7It65LLbwrEgefbz8lgUhv+U
QPBpjyeKvguH6YuuzxjeFpaUfO96kEr5uX5GImNRmE21xeNvPGHCP55mxx3gD82LTWqV8aJiI0wI
qMWT8bxoK0duimGCr5kBHwTh66CWLt7qvDSbtsC21Q+93jQQ1kf2AnVUpIZbXdF4zboKrX5JKDfC
u2EN/OBxN9wRvu1Wb3jJvGHADi8ykmm9OVv5dv2A3FqzUh2eHpFhWncqdYxVrPcid3rfo7q/agWw
FPI5wEpuEvx69gKpg3Uze+VzXavvNqKM3+OqWSMQN3wx8zANgJ+azp0QiOyZRbNWmecuLTUbi1Dk
5lGQIgIFiqnsICKHeU60pyraeDqKTHtIU8DLtZxhRAvw6jrxOrCVNeGOQFxUBwEA+N/Y7gmBnOLs
68ev6qxXa27ZNuEOHsmlMaY7zgy8JaoUHuh9E3GY6ZjJ9xB3hbBc5630ZRKYjpOf/ZSJg5yLZjV2
qgPXG3xxuHl+503+Yyr69knIuN2EYZHvotyBU5o+GPWYbTiux43zhtB+EoTerAKPiWkLCUHCqNPG
V6pahZ5jrag4gLx3cd87cNvZuHkOuPjUPs4qBLU/jfMdchogGMLh4QHOIO91lXcywmSnpLv6K8+K
0MarVjfOOhXvKckCQBYH4xHRNVyFIY7KgLj/KVJXW+R6LbzCYOYEIcX6QSIYc62jIjUA3d5u7aXh
QQCh5731DBp4v+dWqbWpBcKHNawhbkUXAoq4rvYpsSMgpIXrL1OtMA6r1k9uU0ePntNmx35KwyUp
ert/1neFnR0LW3suIQK/gpZvBlPCcoHb1vwKvY0OmH8ru/c6d4LWC76IzIn7RyZqCA7pR+0k3/v2
EorGttXJizQhXt2FSGRhbTh/4QzOPGM3vcAu5r2egBjQyLzWU/9ZJeEqMmZwDNo23fIhlmskOZDX
EzOei8iVQ90GpJA0y7ZmmrefqYdsY75JYM63wGQrX16l51uDjZu/LJPwPPJlYMk4wt9aLqThpNvA
/YwuaVd/LFIrIv7Djq5/FQ+/tf4y9ta514eqhNFt5mjeDxOSrrBCrw4jIgBrVZv2owIkDDbHav5e
hHflOIR/2HP1w3aEeO4yEyvLaAyPQIHX1zFdXhorNYGpRPcbm3i9SQxZIPak50CdnvAMepP5s71k
7O3Gmb7xqkuISezyCuY+HMzrwc0bGBRP3TsT+9YPngyYm/f5M2cNw+90qKFNk9vrzAG4OE6r8gQS
vFoB9lR9qj3zG1EbDfcbHlvp99sYFs8yMELntXPxZRJrDQjjan0r+s1YrWGPLNeZF0VHZwL1yhlf
CP1eFD2s6WQ4nQUXw9HqsJCJq9B8a9JrB3t8ZKO5QLagAkIEt0SBGSbCwrw8kg1NrouOLlKr3YPb
Sa1YK1rP1PpXY1NXInORKwioGuqMaQLmlTCgtapRHKqOYaqp64fahWDA1L5WnSjsH13qiQv8aAMo
3Eb5g4w0gaGLj1Dqdvg3BQ5xAFkNfmeUcP2bDC99jrKiXsFJaj6B8pXt3TJ1N3NZ2Pd2UjrL3nHl
a2+pS54V/AeI/cA3+t13Wf053JMd4Bt9akHIH+8K6CP4CMX4+dFp+xDogfET3f5Ub3HlbryyvroP
+ZOV34PbfVAKxkg3Q6K8lO3G6STEcGcYEt0azJLD8MO4h4INlKhKoPYRXFlUTjwcqNhOxXuRqId4
O3xsnX4uUmvCQA/7X8cWMzA6lcoDSNsencZTO19PsIBGhCObqHJ5ojJtdJewmNUuSb34aGLySXoG
STf8ETqFvHeHkV/YnJ5JDMFWg70BbDRZU68pn/8ASy+6x9z22ouqrclGrzFDLz1z/c+xoF9x7aWa
0l13orFXiFACIDzW7CW2oQ2H+zp8ULKBHjce/idwZJCDCnuJoMtgn2ZAxWGO2NiXtmjaZWGq8XPi
22+976V/WFWL4ToP5WQVlkos/e76MFodI4fBkC3CPR010EYZJqRJejM+habxlhkhv04o+9TMj0Ui
32iaRgsEAZbrQth9uqfJms/xGwQZvlyRmhfpenVjmJ2MGq8KrfxF9e3Ygdqh6/kglreuVA+bzgwv
Br9aQLB33oA0k794sBdXppBf8xA0aA9abOckk8NZgEANqEErvyawBnAYtDcsLw43P49MzXi+V7n9
ojCzOUGCSZ0w61UnrECSrTMan4Qdxwc7ideRlVePWZb0927qAdAywBl0RMxlWYeMbanV6J32GEXi
y7WVTe73BuSPAyZHWLW43IDlJSJk1Jc2EK5bO4My7qgUV74b/Ptf//3//u+38f9EfxT3gJFGhfqX
6vL7IlZt8z//dtm//1Veq3ff/+ff3Be2cBwODQvHh/qI6wq0f3u7IAmO3uZ/yRZ6Y3Ajsh55UzSP
rRXAgCD/nqgwAjctqhC69fnW9rWqApj0lzadQMPtOu87UudIn6tvvRFc17HRINMDGCublGZYg+P0
W0DNnOzszjLfCNKVg10qX8ipijdXl8E0bn8qg0d8lgDC3KYZSeokAbIxOQxCoExEmygNP9ZR5yrP
Aobf+B72xEDP6o2j8vFk682YtPW6wEMPikx/tmZ19xli+vnW6Rlm7E7u1sAjif7ahcZSZzoA3BTY
4u8vPbd+v/Suy138shwHOWiX/3zpIY9XGEPjuY/tEE9bJIEjoKbMeZVzo3qtUyRN9HRimMGDrgSv
76mHC84TqNoMMLG/7lWr0NjnUnw4zsC0zIY9djArNvaO08jXLK6tILHT4eTBEvNQldDJmJCb+jRD
9BmX1/2uu0J/Ghhv3ZWFcBqJsulIt5lZT3edTOw95xaeuaA0eP/wu/TtXy8OZ4j64upwQENcx3V+
vjiDSCsB6Lx6vE7S3dIBL7/gn5ChKB7gKNs/gKr/TI/DuFHGmh55VNS9ANdSD1MJr2JL+m+IAXcr
18kVVNPwYJKqgVmD47Sfra4+eXqOiJfiRSWseHGMEpZB5YCuU8EPjXcvjaK+B9B+jYS981hoNf0K
2raQO0jDA9VBMizdtCX0H6mVBtTxuHa0Lj+iZnCtrWMO3p6dLxGcSnazp6DaHypQHscQmhn2kNbL
JgSLULaP8K53Hn/py837xrV2As4dv0ztyWHO6hx/rxvJfm7uI7CTBgQ9MP1lR5PHf9SDnz+1eoNI
YVk7CQTAUMhjt1/0oB7uc79UT1Zn1mvDnIsVtdLoYciuowuI995d4428tNjK4m36QVy+bz39VDbb
NTVUFpP/8Ivg/k+/CIcxYeK/A8dsDzRkz9a304cnFZ4s1gQpmejRwSsK9nFsPA8m5JWJZxhXn0y/
sd5oEsaNfjxGTjieDeljimbUsIJM0hO5yl5dYsk89moPS7u1X5blotVubzFAgPDeqRKYy6TVgQZR
AxX/17rrwSKWhpumEUDZTLbItt4wmwfGhXmgPT6mdrVQ8QS0FRJFbMtFsrs1/9bnWsHrbvMPz56f
H/v6YkIAyuXMFb4FITrf/fliprJmZpaz8OKNzYRUbO4vTPAX7q3Y8AH6zs1Vn/nqtWDOiua61KOu
JVh6Ax+gcAvhWaQRSwHucV9uG+QZ9HO21k/XDxuQjE59By83dKBqeHwg6GRKhNOiWS3r1IS8q8Xy
B9NP4wUFW6iB5cZ7A7IzMaIEkHU3eKeWSVlCyyb0swcXOJe/vyq+99tPzOYeczzTguQu4/YvVwUz
Kh6pNnMvDHa5J1sbZkDaJAWETbvckiZq5CZJMJYPsTtnwQfp5QKGBiSXTHXQzwMxVkBKnqSVQ28C
Dm5026CpEwNa3HmzJChg4UCeA1bI0cHRiMEk2nhd6b3cejUu0Gkeg3XjoENDZZhAFCM2oi0VO103
CDCU5GT/Vkf9Sh1qunbW/ahuagSm2tx4rbW898KLZv6IxzB8RawogVKXW+2oJa7gsRXWsOGi1g+9
fd40MMjl/lF2lv4JTF/wcyrXidXMW+UAqKLrWTG6eEYgqAjVFKz4IdgvAMZ3xKJv/PHR0gSSEkRk
pG6xUtIl3TZMcFDKWoTlYBEmIwV558EMdzD3Ls9dG0Nmfm7Dg8i9z5nq2gtVFXh1BRlyGGsqUoOZ
gULFzLe//41Yzm+3jg+/Dd+EuYDvcKzCdfuH59DkM7zuJru6SGnqqLN6SZo6/qoGgA7D0WX3yPzE
gOcBAAx9Pfm1hCIG8vvha4m00hq+qVDJ8Nz46eeRft0zLGCmo58bMTiu0GJxh6RGTApytVQU8byS
ZTc/9tKDqkik1rE21isLozhBJhZQU13ECqPdCk+r3OhiXkN8tBLOuKUiiEbvh6QirJBXMaBmK2Hj
V06MoDi0mlU8u+0H6jXY4pgZ1fWVOIRA1bzLOKhuV+q1k0NIAk5g5pV6Dbe54i60nQ/U6zIam1U3
5N31FHSeCcQc4L6t1Hu1LK97cC0/ukt78F9HkHhe7c6CUzhj+REIBe/JjKpdKEvzFaoi7RrP1HBD
3ZIE+uclcl1DK4B36rGCoHqXt2+3w9rRjAiwHk6HLbsiQii+PDYdn4EbhXXjVPXyCZrrHPgcROtq
r9lNDTICoBV4S6hfxN8xfVKLfK7C57SfrSA0xuxOARu67Yre2tGRnBYZwNuRBpZHF78cQU6GT1Yf
jksLpnEIToObLPSG6p26nVaNY3dL053f66iB+o0YZTNmX48h4g1MrJo7ESGConiXf4EA/J6cIduk
PTjj7L8CxOguE2+S4E/APtVra3M7xgjYm5Zt4xOI/IuIm30TqmeQGdI7hsfhw4SFETwvYHDtFP0T
8lwR7Oyi4qnI5wY2AWW/oaJbZd2u6QEcpyJMmO37pmHrpLOLB0TYzaBgmXexqiK7Y5W3MafRu1DV
GIdtEFrhvLZ1ncWrBs4d1+7hkKmzVaodBWthGgR1w8zdUcBIUoZM17WjB2x0z0AIx2RJQLrt1VDm
Q1w7COoVzc4O6+pHb6VvdjILcF6bcIllOr+vTLvZ8KwxgAeaIdcAFue6jLvi8lfHydLdmJfVBgGL
flX1sMRTcXkpNRsFMEi4JGsiijIKmDY2mcIthTraODAOoL7ujKeUiCvk5MfpsyiKYJ6K6TlJQdAQ
lWsi14IVO2a3HASNAi9SLW7oZGUAYtG4H+q2RgZu6If01CRFtWxM5j9An1RubFHGcJwppmNqIToP
SKL36FpIFLiFFF/BqVplecR/RJ1/6FtkZGg44AD+A49kvAGgaV7//ZPQ/vVtiVkDZzbDi8E1TRPP
lJ8fhAhDVa01Gj0M402EWIcQ6SWiDEBu6t6XnbmFVBgiIlTXwztKtv3T3LoVDG+gku96pfmQ9Arz
gaHKvxX4VQJcxl9uPYDhj5CoDuOtpyVWSGelg8gq1j+9vyJRlU4b2NIeLBxhjLuMmia/ziNsoI+X
HZ/Scydb654aGDIg939/Gcxf56X6MjgM8wb9z3Vphf3hfeCNI3DegnXnd0y752smKW55BudjiHgh
DGBbM/Qybzd9FtkBH+3q14cBjSgzgPzp7pcl9OyQKUuWf/+RufnLPMczhSkEvjmBhwf/beUJpqkJ
o8E4OV8n9HPo1VBCj+IviAlnOigPtZ10U/kh2/xZTe/42gSU6vfqCLqN12pmd/EXWG3cejdJ6wVO
XCloNK0ozJl7fvxsOdByKbLVJBsIByPlEajUlBcjqt73YITAg6EDzUNFJg8mvXfrp2CR9w/LcVo/
3CIhDt7pWAZzLCxs1+cM5Z9/zsM0j3E9O+l2CkH1cpY2TFn6GVbbHiaaCCB5l2EeYKirCSdDl94D
9FZ/uvUIDT4jP2SNiyEK4dpogcoQjyOsnCQEpjO8c8ACLeSjw/JqP+hWKtImQiJ4csfoKDmDV9V/
xqvBScETNs2vbDj8/W/A0tGFn/9c3LzCg0oItzwPnKyf/1xQLfIJmaxoe+Vw2eXyGpFBbN8/WZFC
4hIaKrXepHPUQAcc9f2kwGmDQPUidaHiGHU9hPmYh7B1ZNmbCVrOEusFUHc/lG/txAkT9T/8mvEl
2Toa8OGPcZiFv8T3bQsRHi7Er1EsBlffwotls8m6lO872IUvgRQCgm1wos9x7kMCD8Bz4dVgSvIx
XlA9EEDeGlqMSEDHSn72WZHB7MhxzyZyDs858qLUTRWOOkQSYRcqFg5kqZtkYBB1jDFbHttyj4zZ
V4Ctkh95ecakEW8kFdnISIXiVUsNLxEZ7C48zNp1zqrq2Ga9t0cSedi0NZ/vwc2OAjzKrRd9nL4N
4x/z/H4cy4DSo4tkYlmezUjiBQIFyf4MoP1JRGmxt3B3mzo81EGBKupOs/FcQ3fjTL2omopTV81b
sJ/fqJ6qqJE2U1+FgYlp//J6Bqps9CEbc+wXnVLRhuo+nEx47aabkubwoS7vVX5sWRU4QwW/SRpC
p3JA/tpYWZ1/rKM+hlMX2gOtR8Di908NK2qsCQXzN5hpVbuIQQUxA3MMLo4m+JkiUwHYfpZzTEoL
4frUDCGT1xn9gcqFKKJlG5kxZrfTKgsbF65qczotIaCMN4rb5o9eJ73TzMM7l0uUdFWXheaiaZkD
rxAnR/4m4geD5z9uPQaH/YAItodHO08xX8RIJOK8XevBZpmO4esDQTgdogWdc6IePKvSLWLjCEDr
RqqzU75C6EreX8+U+9M6n6Y5uB4jxow3mZM7r97ETQqlOD3OaoRamb7pra5HKMLqwYa/5e2gnjnH
AYie5YaOyucyPMdZtBcOc4ol6IBwpCjDaZux63naKORHWLe8UHc6zoi0/qKFkOaeiqEUXLN2gOvU
H4E2VQQ9jcy1jjQqEpGxrUt8J/SpqM62QEdArvtM/WMeQ5wjNGVA12Yawy920cRHAW04PGP6tSU5
v0DokV/sGVJY8JPwV63rSLUcjXQBx5b8gboAY2CDwgY30tiyipWV8Hbj91ATbrK3bMiy9TjzeMcN
q/yUzSEmIF72BgRkE7htYR3gOjpejL7/alZh+gZcFKYSqjXPIvLTO8xO3QU1KHf80Vee8RCHRXqc
mzYL6ASIjB+EhjMW/XSGVB9k7Ed8FXSSLHwqSt+G+uqYbbJy8DcNN8rPsN5eTqwO11bWgFrqI41j
tIchqZB76BAMXOLpkuzM1GPgWOOSIfLIFuUYs2oZ4iEWmpF6oFbTjfvAxcp/Q0Vp+MAzwXj1eqga
v+EKMZqz8Dv2CEOMeB1aCORRsVI1uwOlcXvt247gZ8MqoFiHjf2NjuaVnrGBya6zxCrcfLSMkV9y
+0Bt1xoFJkQOxNv1owqjVXusWWC1oj+5nWF9BRER0IYavDQRj33/zDommiBZt6HP0RWMH22u3j/z
4Io7wInV9TPrn8Ma2gbFis6aOUCwz56HTLo+gd7Q50a8ebh+rr/7zDRobIzfPnOU1hDsR97trlXj
ejBSZ9PV/q5Ebg4ctK4EsMPoMbWg3SnrasBWkRMpY8/Z+tQijAJsRZXB1u3aswWpI3FEBNc2jQvR
xxiAqF6HsXhJbQkjaapjkBeVR9q91pa9xRaA2oXKSAMZ4wVgp49JU4HPUUPlDVOQ7BG8y+yxyuFI
OfgP1AGgAXvFQKVaUbFkqXXBYOpIQ+AAJoJBDmpNdY1AsriLl7BCnXZFny3fh+G4jWyBy+kq6G5b
ffbIIqe9m0x3c+uRV1OHP7MrtnSsbm79E66I6pdVWR6oHw2toxF2bGxsdlSnRjYcJ568ztXc7YRd
ZQEiu8mGt6OzZ6nKT9FYY6Y+BqEqdyItYG/FVL7IZDn9Ied1przmx5TN37CCtj6JAsmFpA4VMOEQ
vpsbjoWl1UYPYwgdGdVb+RfLFMgVYxAAs1jptNZb4tgQ4m/n/EJnHqfC2SfJ6O4gDbgphQt5IWv2
Dm0i/7AHq0Ka1IC4pSucU4y3xpqXkQk2HSyzp7TylywE5sFoVhWHMEcGlMWbiNgZEto6/YmojRhx
kRMABWRsFd+NLvpWwdn1szuydMmHKXxsoE8ZwIaBgfYxv58bLP5y/8t54y4SD+BDgDYn5fAJKGEQ
nE0gCn46Hyy6wecrmnLtTyUUzKF+vq6hARKEGSx0VG9iwj315huIeYuwt5pXvwHVXkI1bssQy/jk
c3df5fqotW8uxQyjI3vszTsVp8jl0EjEIkNZTY+hb5Z7D2bSKxqQq81sJeILqCUZDHKGZgeYvnia
ffee2mc3QUzXrIazLBGeB7sRfuf6TLkfQeiLe0+47drdyGS6rqw6/BLW6+tAW/Qrq5uLvckQ4YLJ
3+frBwFqdmEoXLgUC4KThfzNstAHBHBpX8Sd+jQLOW0tUMHXedt1r2k5LaiDYYOfB+++/ADxperi
C5hP0akaB+TtBrOG+wgYiKMLBcyAGgynWft4ar50wuYbAanSjUxH46Xg+Ob1OSFxVwWzFBlSuED8
wCO5ul6uAsbqC+BdootrwKEm1CbCNKJOgPhBIOm1nd1oM85lvYULyfRpLuCzoi90mkNXAQKY+cmd
DR8QvMRazHglPSNZ9VxNcPCIgSfYFlEK27Br4hvZbwfaCYhnuUhdaiEYajAj79EYYc6p36a1kTiX
Um9EhrldZSfGil6fsd+jQXyT7thcX6hlHs+bAro/SxpEvXqgdydMJ09UcsfOh+vGgNdwUVgbTHPN
PRhUCw+omOeMG8ZDGpUHM+yjl9ErcHFA9rzGIuvaBMyJ5eOKWt08ygIDqbsdBR+BJP2RlYKdqaSP
aAFF8az0ESFPB2F1xC+dCuf9kyyeSfhNghRyBPZUHDunx+y0r0ZrO3jdnaUbwHUDiexDszGWWzz0
3d1cJvCwAy5LHEPH+nN3ki5cdubxe2R+GXgEse+uzxEE8+10KT3ZLgXekZvKZjxdwo5xY/XCPjfg
m1zmmsmTnbO7987KQMJv7PLgWrYQLwRDs2rhdKMP1ij4kLLkIYv97ILUOAL+0v+jczO0WZ3IV1bb
4GdGJ2p48a0rW3MFJDpbAe9sQ4nLTV6yyHBXueEXMLZBsRogyR7KtDxScbStLTBomEUVofOo5nJV
TCp9iWSNTIY29cJEOn2BW4LY1Cx8b02yMQ2g2DTtqLVn3hsvZH1HQ41oNdsMjIWsKu8RfHmm8+SK
V3v6ULk+Pijjf/2hqDVH9JE+lAGFT0wW0moTTjM7EsrzivfURYUE+CLESuYqFkBdrjICH5ChkREi
wK47eSQmcDvQtRMdM9adnDyfg6qNVljSLwFLSh6BA5mfbaDd0xbsYCqxocAUDWrsVBKmvbNnll5L
WTkd7agY7qktbP076HWJOypZEXusIC15LQFV+dKNnnmmNhXlX03pxFfVcAaHeeRG+HC6noLV2QL3
RngkbXAIrNYL5U8AhOgPF3YFNAvMTByoVeE9vzBzjjwNtcL/HfdUBqRtF7Fn1/OzZc5OrVunO6TG
iqfZ9ZJNajAzoGKUsfYk6vCzx9wYv2L4lEYT1MaokbU4VWE3/l41RvE0pn2xVglC9NQ6hHZ+bCY8
0a5jW+ikiOyJuuYKUuUI1GPirk8qu6FfwfEhQ/YdB/KhwLAH+j+rh+ac2bAWyNLcDJBfb85OBZ9f
gHKwm0hgLCY4NqyvlZX00VQ15n2S93yH0MMESzh9DAYgSG7nn+tB7sYZGHWII6pH0x/ycxXLMzNM
owBYdMaCzbRhJ6RbnbhpD+EExFmYV8Uj1cHo6ouTWwBi6arYH2AarxdCEx1gMsFasIoGT1+MH01A
p0IJc0cq0girXMu0ZxeqMSXmepOTpWtqk1M63CMMcu1OPYYRhtddiUgSFQXCnhDu7y+zN36BVE57
pOrWAKwRP9B+T8WoqTiYRqALUJE2Q2092W2WnehM/gx6RYy3FyhL+KC0YU4A740AP5TsfuAjW9ms
61d40lRr1RZeQAP7wjQuwx/Xv7ap/DmYQDYHLA9HmRPbukuzZGPJST1Sd0chMWux2Xr/+CLiWAM5
L34Kv6kl+KLg40dLODtB2duz7fvU08hsQ+xvVbSXjt4aSL7xRKVrFQw3kDYcxw0Ite/DofNvAzo+
9UsoHexkOXqrjIPnMAEFe98nIr9uwkZow4Vw73cFZGbyBnJ346je+9l+N6w7D8Z+vizjYEgj84R8
dnsCEjAP0jGT38IdhZlv7Yz3f9tO4/FqzrH4y4o1slxeUCFFdOhacPPJHf1WJBGdWxHUIcjP6M6g
KaIzpt/Pt1Ya2wCWGdQ+G3cCGay7xjZ/UErYFRISbXXtbigljFnbaYIRwaXFLJR6hYn3PA3QK47y
wV9fPZQs87nv4vbB5371kNnZJ0LClEkk1l5Z+usOr06kZBeTC1olSMbF5qazlRl1fpRYtqRpLEug
gP7sQhpb6SirAFI442oainRaeL66h+5hsiOA1LWOYFLu2DbB1dwNnt8AiJQjFNBdJnDRIKQsZw7I
rgJxBrp/9jO1wmIMBsfwdcjSIVqPEeJ0pTFATdO0CnaSqb8ykR27t/VmgvrFfZSXXyerTvdUonrR
We9DqY42zDXGYMKi7c6xoXUcQ5z6MHlN/+SkXbNqK9msB13khunt3CSKl9Ra8MS/q2q+p0aqKvs+
8G1mPlAJfjmQ553y4gAP9o9HY+Y6jmr3AU7Z7cVIT52lhgdT258POVLoftiyBbVRnRsZsLGKBwSE
dH+q89NTW3fWsU/y822gO41sQcVfBtrKQVocg8AHGxCmmN/PRAOSXIXbwhIiOyvMEyC6YCKEFXlb
w1DWQYWD+9seZvhr0wuB/moRPUIkDVEKzUIAPGCoeudIpW40nAOMMd6oRBtA/qdlAqfzjZ0PEOru
RXTpEU/Vg+kwYdwa+u6Og75Jobqtj9hKxzkOgyEvrgRIKlPwgJw/WfQnJZC1Drh0BSRQcflok9T1
IbNt40SlaQCPdhzMT1SqvaE/1oWYNxkyZ8c4knCU1Jv0P3tO7HebNq1eqUdmVu89qDhl2dLhZQJb
Qt5CghYkoBmWtQsfatnnocr8O6Ybct1QcIBZIQgLmn4x+HcgG7+PANv1x1xaoOs42a7XEAXbnPkD
h/rlbDWXXMMUPDzat02JMAp1oLpBiwEZwMJeBzWFwR88f628k+uMSze1YoClFT/TZvBH2LDBQ3fd
w1AJC3o0SKGBzpNu4eAvjjZCatSPWgEufOrhyrYlZS3lu7BEccWBhLV8Exr7C2qgsm41wugbMJ/g
30t4CSl/sB5ve5ExyaDUdUaEVp76H1tv/cbCOcLs5qschuoVwVmkQ/D1n5F3tS4VspFUX8ODHmGz
ptyyMa5eJZZJ+Vi6n/oOEx5IcGLJretvwxVcag41oNn3rQXFmhk+Ti9YSEAAXe/Vuo72qI5aqd/Q
1/LXVuEP72OLOqyX/iCtjTHbIMm1EiJJUOLfA4CyoqpbPe0VbhudOsGbje+k8xPPwpMBk47vegeQ
yYF2YAp/rfFqOPlerchDfBNd0sm9UZv3WYg1REzfHO02/gyzHjENCJDgO3X1hhrs2ZJ7/88RAn/p
+UoF8mDcAoyHPQdWMbabQVTmE75KYzNkkQqomDVAGjsI2yyo2IwplmmYKUR1bHVL27DWw5AkwA5h
qA+E46LCnXcwWtt8ogPXSYXAqi5KFwf2FWLtISK80AmexD0ExlaltMazr8lB6QiLUOZEQQ/WE1LZ
YcvtFyiGQdIwzcul6Wf8xXAVorWGqsBzq+yXumxeJ8fO7iPEP5/+YpBhTixQheWeFGy1DSNJMVcK
ogioS9wxQUw7wxzgjeVuXdt11rlhqc0EjDfi43j5UtFuOFZW+uVLxRZ+qss5l9XDNGV8b2W+sYQM
1PSZQTRp2XdOfkTIpX8BJk1xeCZQL1lyA3Qzf/zsC4j2QvApP9q9Qb1o8F/1sg1wQZTpSkRD0v6F
Gyc6Qtl276el4i+nRa8mG4p1ZQxmgPxhfr5tEht6cCU73WpyE+/xBTBZy7p2yiM1wF1EnUF+744M
wr6fVY57Ge+ZZ7iEudt8qpx1iszn575ugkxjlhIPJgZR2YpjAiXYu7GH5fkVzISRYZ2kz1nVvo80
w/w6kjpk/xlZWbl9HUloJ1hMPkxFu43hVfHWqM0IwaofNZwoF1XZu88OVDpWRT/Ep7oy0kNtjNba
d9ziEZEW5La8nn/r5m5Bo9Jieu3kHL+0CMYHQJXJs+RIrZoO4ncgwaaXpAnlMsqz6ms8CKg8IHOW
hnijGmXzeY79CpotjbyDXGS/E3Xxikl/HlQj//+Unddu5EaUhp+IAHO4ZeduqZVlaW6IGc+YxRyK
+en3Y8l2G4ax2L0hWIHsyArn/IFYFMZL6D3N/jcWnGBq++SP1egkg/X2WRaGt4kqJ3k0usg8+n7m
HivLIEkE/h6b3nH6tN0KGxvmVkOLPnsmhN5wgmvUGNXrAIVgU+MRcjSCqnrVSVVB9wyWTW2L+nWc
R/2hwy2R5656VT2cyT/Gy5w/qiq3DeQm9X1xUv2XeHAOTWHkW9VKEL+7Io/2pF5KVfli2mK10z+p
UiesAL4RPibq3knSansXT2WkYXkzbmxVgGDrb6rvVBXttUgcGN+JZmGmkxSvhK6uQ15W36wEjLSN
pM+59X2wtQukDmlU3+ZoRs2zt/lT4OXxUes/VHfNAJs0+SzsVRFdBq/qxs/K6psjznpyr6rxMd12
dlrApSjMU2WKZqduOmjOueJhfHXLDkqeZZ/AkGXPWWXj22MD7pbegD9VNURMhQ1zNdHk57oDZSTm
AZJXOWYbN277IypeGgnStfx/vPjrVuur/ecNjBgX0LSrUF9ZFRs6mP3oWbylBmJkvVE7oaovjWnZ
1vFofXVry+kf3To//2c3l8XSSWedfD8nyhKcJOLPJOuCUHoGfgndYv+m47xbogf9ruuBeHDdRoTL
OoiyPhgOAdyMnSq6jUMenkDBnSpG1tsQu927sFr7OhVxRhqTmw2uA5m4R+IwHUKXnP/vsNm3ulkS
nADYdEmNIPhmW7jJYZ2oPyPWMuynrNMuUdD0F8jd/t5Kau0pnRF8E3C8vzlDfzXV9UuGDNSYtD/r
EouKyetGFFrxHq6joLx69dyfkLGej2kku4di1lAVxorknQTRryIdxB+xfnRMi/fRGOabn/sTbjQ8
e9pKMkvTxjjADOjPnVhwax1KZ5eg/fmqrwMFu/fph+ZKtKyJieEXORwzS4+Os9bG206a1luZdP6x
bghCqOIMpOyYaVn6VcTk1Dqagcy+imPMU1pgfbbVq9R+y/WJbLlVlsyvFDsnnSi61Vdnj3T1scFI
8avVbePu6BER+rpWVB7rvFxgNbheW7tkT+RsYP+4vivoPQW2cdrw1Vo4EEl7X0eFcm0Ngjo5xoY2
f7XmQaQd4sHQv1qXPI0OpNghY6x3bj0SIViCW1+tjoHTs2MiOK5uJRLdOugdOqqqyNxmHJZeIluw
XltO43IwnQjTlPV1jcGcDti3QdWa5Un6dXeM5vIN76FpCmFZynt14Of98yy1Hjy5THf/7qG6CSiv
IYm8/KCKssZkuBQOpkmrfWRhm/59sHTgjOrogcnX8hBHcZN9EyN+qipVP3WIq/SHl4AsVSXV6Gro
T/bFuE/X629d05xYVJ6SC7vVqbPO1F/NEkvT270lzqwXXzhnmUTMeKpblMK5bdDK2aobGwWDT5jA
Hi9gWV9uLxZV2I80WvWYsSH/x+tD4ZCIHJXpTvW9vZhnZifHl/Xdrb6PteKMdvW7euXbvZPS9DcE
xoyve3gvkWdAFV3tVtRBS3BaEQEu2fPKKvurOs+F04WqbGKV8fepQyoN/RYkByyt2OoALO6+TlXX
rs61UHT48amW/+V2XZ4czCgmtbC+5Lzex417dkWqbM+aj8RIYO6M1Gdthg5uMBrBqYn5l6ui62Qe
+yZR3etOEL+3eLipemPyrVPT6ixjAV99GBIqmCuBO4Nytt8KogGqPiuC6bSICXKgujm2PORIwBUS
A2FBa5AKUIe6S4O7dj2oYtc5zV6PIIqrurFpSFKT469D3dRtIlOpd596nXef5XLbB9ZyYRK2iY2t
DW7kDTsCX8wrWck6W3VULUaCbePaW6zX3urVWRAZf16mil/XtrFztis0V380uTzMs6ndAWnIfbu4
V4fZThCsWg/qTNUlJIy24KDbzb8akBqHgLheqzqn2nCY9bo6/6te9VCXkiaP9i3L5a9X/K8XU9ca
bfCDAOIamSP0m4/RvNdXe8R5PYDr+vNQKwPFHFrJyY31XauKtz6jFesbPdDGgym9NHQMJ8FQuo1P
Xl3kh1HE+XsSZU+KUrLIKOVv0f2zRwAY/X/vEWlNt52XDnnYAAXRoO8IXnVxeWfq3s628Nq9VXl5
ijjCrXy7ojWz/mhVzT30mOJO1X919mbd2w4FjnZO33ePaM3DbLFx7JiInQSk+1rviC1VFTaz0z1+
VdalPADoW4VcqavWg2zzZMceW9+q23w1GB7+MRlq2ou+2jit3k6TNuubPI/6za0u9YXnfZUr5d10
azIM5FRDdaWq/Ee7KkuJFsa/bvefHaf1HagWdVB3dA3/z7pbkaeOiV318csGR5h9BgFtG5BxmcI6
nuv7CTdGMjtVo18auCm6JSiqlj6SZr+NuxZuJb/yXlW6rbuagsxWus1atE+tUT43ic5YYibeyQ8y
wiVjmz2Z/odqUzUgTtOjR+Rxc6tzHXw8khI2nZE57bMAK/BcPavu6pBbAct23fe+XkPV2UJPEQ0R
8mhW/ng0Ch0MTFHk9wTj8ntJ7OMoUIFoosoY+e/6HFWL6gOWswOPPaDjvPZWDXAnjX01WEiGFbl5
rpxskK9RgeGv02CFF/jxS+Ek06dRgFlvnaIjD91gSpfHACRKOZ/nBlI9C8f4ESFNDBo1GJgZW+dw
LOz5J0T7DSSUMQ7zfgRrZAVglmwEBfKkf9UikniD1SLd4SG9redZetLWdRfcpWpnTfP0WkvA5ImL
sr7hZ6evO2F0SnAlQvCx5/HLi/IaLQUiql19sRyTPK435zXZob/K6kwdZCKroy0txJ7i+N79+0Bo
De77xLBWJL550H35qRpv9f/qu0yNWLFt/3mP26Ui84cznnw7de9bvTq71S21n9wlyGav7+Bfr3Sr
U28mW5Be9nEh/LurX9rJoXFLhLZiR94jDItRvRdb+8kv5K5NF/D7xVPgQeTUqs5/rUvzscZ+6UEn
kfoqe2MJF6/LL8NYBK9L1MstcReP74BWW47u3mL5vzPXYrB66S4aEBx1p3RoDXxjxHfV6CAV9Bzx
uLDmvmszp8aGLeZRx3udY7TK2ZKBAsugyuoUmfTxDKJ15X1MwVsR4fOdT+NVlaByvhSlPj58lYRN
YMufHr9Krncslkp/UqUgI0LiohtQWt5v4M+hDY/d8qAOJkDYXRlZOhAF6srG/rOhBVGJ5Yrv7zrd
6V0Y/msLoiphzAh1vN2hQSfgIY3FocwTzOj/vjPk+GBXWqAvA0w4oTsV9g7tMfexA3TzaFdeepxt
D2bZUAMtWQ8WUZH7Aut5M2I3wqqUut6KD1a7TCxPKam+aWKbYesm0NWx93nsMU1KtelOT+ZxWxDZ
+oEKT2O4P1qU9rZ6Vph3llZ713kgraYaGtjm+Hbqn8PowOFcul8QsvzDLLvqXGDWgAjg7TQFnn0m
rSuXTRqb1bkzXLy7Ji06YelAzBlCpeu09asYgIEzw7cngnv1a8EC59Bihb1VrQXkwvt2LN4JRufd
ph+X0O8T+VyvSVVUZpbQ8XBxHOIAUwAYUtiK9KV+lka0fB2ycvxn8Ye2uAVCv1p8ISoEL2U9i5ZK
/KOoGv5Vl6/9ar/EglZdYizdjrHFObbAgSYhyHjMhdh5Qm9hxSbpk+G0MGEa2fyQg/saTLr1mvWT
fcw8O9rn9RD9pkEjmIDSYJuL5Gg5zN011QvrfiLbuWnaqXyYEqHLQxzDRCtBeaGHMUYnQ2Z4RUoz
ejTXA7um5jquRLaUcP8ODCyLdDniGkOj6sYU/YvwdXpW91AH4SaAwOM9tFRwacJe8DZHytC25m9W
XaO0SSIdV6g+PSQDiPBocMQ1RcfhWjUCzVcZuUQiKN4axFos7A7ok4UJ061Bc53mXgO46TUlyrml
9D6sOEJrWbTexYVY/NvY/3DX6ggPqFO/BgfJEjQhCOb4aMB1RQFr1HBHdbU7yMP2bowLEj9rg6pT
rY7BNhexdvoAh202aBCGWrF4D0EHQtz37OSHPufPsmm01xpo11EutrnPm1L7KB1tozrMOGxv+yaz
79SVUQlUR1mvYDPyXBg6+d0/rSA6J2e2y6yH1HXMByKS4z4uNBxE/q5TZ20qms0aztjPwTzAIWRn
NMyTzx+Ta9XBaXPzGlSvqmBVDBBhAejvNFXeT6+d+2zHujvf2TD4trermvX62KqHUM6Rd1AN6q1E
YB+w8IkRmV9dsT2o+FovxfuM5/vDUBtxSEKfgHO7zAevkd5OdfMjUgSuHTDvrq3/76ucIWneesyX
NMscHhEnGh5hIyD1YeGTTCbp7lbfJyWJ4mXx2Q7STTVkua7fEWI9qYtUPZ8X0YduXENcnvVAtpsI
++i7v+mO/qFEddLggO6A90uLJfL9hl+/e1Jzt0MAvs6KRXeSOEYdQWZZD04t/7yab/QD9PAfVtz/
4nbx/ZfOn1IA9FZpGuHg4pREGHrepAFVQzdMD2We6VszNwADS/9+NlBVU4pU6WAeYj3x71VJ1a9V
qlewiOjwlfg1ywrAn+2Kl3o2oyeteAYkDOVlPSxYMm3TZkr2qghcdLVRbuZDky4IW/r9nTS6+cFZ
CoQsybpvoFQtJ9WYeNO8x4W53KlW/G6nS1Hiw6Na2wJFrxkcl2pUVTAtgNra84MqORExhkjeRWxv
SnO7+k3nq53GAKB0mwNI36jiza/6y+hGlae1j2y0bqM8rXXPn+BGG/OL7yPbaWoYmbLkXV40WD1s
Jqa3eS2pKt0035GJze9Vf8lf9oBNPLPO2sMHRvQ0CJsAPjcLIFMgsgFSzMRGx0yu2GOxBJwYfer8
adZdVo92ck9eSt/yhsYnZO1MFrYh4+bT1A414Eoz28zFjN+eNuAS0H/EnRM8ZmeXwebJg9udzzPZ
1rzwDjbR9b3vBe7ervKPOq01QPquthGkJ4+kY08IASdPQcTgbsBR/OYT6LY7FJoN07bQuLCnqzrT
HOBGTY2Ao+nys6baWGDfXq+ix8GG+BOzNKFYImdMyaMe4XYsI3vrVyZR3GxFkh+96WkO1hVRgLRv
zOsjgTFXZ8tsl82bmcDyRj7jzPM/hcDYfq+Q2HuudSs+xX7xGQzxd5HGwSFKjOCYRRqxLbbDzJIJ
/6LlzUnm/OCuaAZfTqe0rfms6Of4CTbFthPOyEk91jAR9wLZgywCfd4Yr71lfAsM0w91EGFbu4+I
dmpe2FokiPQZ4M8Y95th5OkhSlDiOdVh24VmiP4YBDry5+QJQ3MREIBIROwAPXsQT+tJbsl07Max
Z17W8/QyAVsMRdXd94TjYyL2PzOnRGK2sbpdXBnNvu60IhxtAKZmPmzQlQTolHwabr9875r+gH/h
SS7Og1W3+iWQYFuZnIZdkLRlaCTzH1H/vS1RX2bv+wspbL4L+YnK4CENyt+GAjCJWfdQcatnE7Ra
OLaYy5vab3GZbZy2YVppOuzHhP09Lz/Q/dpbfDNlgGne5MlfOsuErWO/wwZozkCO2Z1g9hLa6UDI
QNPGjbmUOQAr55uZmAuAb9aUQVKJDR0+IZPu6pIJdi4wm2rq7Jq4IKuXmLydk+FRMFX9AbTod20s
y9c++qNBQvcACe1NIzrKOmG51hMBpCJZBaemnMlj8ba6YV7BY/JJlgZVJsILQCTHX3kat1djtjBD
y1/7YTDeLO88gKDcaJF4NeCFbCuUDbYTYwART/uEvfjVXqZzJXScuLLiOnZ4PhlQZHZLxo9Bonc4
JOBJz0l8Cppu55mYJ0ZVi0WOPT71RtKy+OyaQ+IiOjgM/SPQj63dziMoZPtsVL4W6klSgLTrX7yl
ImE5V8u2j8r2LNLx1PZgc5FaIjULfF3r9eM4wjGr7BLgK7guZOvJ9iceFio1aaKuxy1uwJUhidyr
7wFzxjVH9I176PoE7cxE37ggIAXSC8dlgcdgYwEUGlFpnNmW+5ux11i6R+2JGHZoN90MikM/p4GA
H940iblr5kae+wzh9Ad12sB7y8N/tC2mTkVZucNB6v2pqgl0gY7kKnUXQzV/3SDGIyiNzLCYlvEA
2aOE7Wy3IVbvEzoaizyLIDH3Tq8/6GbdnAGSLzxhiY9dCvvjrZwBmfTm/Iu5yoUmswRPUqxq8qwM
Qma/+OyaiCuU8SaqPTyocv/nM35On6nPBm72miQszR+m672IqA9NcnqnGK7qzkuH32vJzyOC5bG2
XQR8a7SbycBX5SqSPQQPbZ4l6AdjvOqK1zJZml3eA0Ru+1+Fh2YJQF0P2dS63i1a4j8MbXQqFl97
iRD4jebkYlj9W+l01R7lks+uzLWdF0l+PIQdUf8Z7nVXDKTwSVQbsnqRyfAtbu0OJcPEPWQuCZV6
7PfR0JYb3m92KYrpECR8IUWNZotZOMN9U/FlGbl4LUby+mbD1iUShywt9gsB5aMr5F1RVEj7ZNXb
WOsbsXrD4FOJTRSeaWQ0s31XRXdtjapExsOoG8NjHRkfiekRqpHtRWe/semXYdjBXHTOmqkJYvaZ
fcoFIhdt1/whjKoK8aS29PYPVHrScLJTrMlljmFq/NSVlnFEobeNe2eLAnLlyRc9F++NrSdhYE1s
ff3imnhuvG+tEX3hGGxqGxQn02CRkPnZR9cGS9hn/rzx5F3d5aHvzm4oghLD96L29xXpnmsPZLGN
ZXctnZ5oLnIkiKnBw+qEjial7N+I6aehGJwPq4phZBFyehB6cBxzNE98ea60+VfgoX/lBJ/OWGD/
aY2nksxTmAjSxUzO02Z2gPNVZuBvCENPR3ZeOdk11GzyormkY8cY7E/2HvMMM+xXp08rN94hdE9g
V9s7e/aDbVoPeGdkkFPFmF7UYRBOeiE7esmL1oU67BbAeIcXP4NgQWQpLFwt7Lv2j9Ry3p1x/r01
O3JgiX0HGPtSw0L0ZuKItus3W3QQfpOYje68Mn9FVty5Tkz3Ydfm7bGOZfFYzODwtKR/Ev0S2n2R
7woWdVsTYhaiWCkOX8YIlrZwN72Bs3JjCgtBID87toUf32FLE6H2YyWXJSicU8RK7SySzDinowVD
MymXS5Vm47FEBPkOaLh1MISY74ekiFnMQmsFHtPshxFjRHJNxq5OM++x6OJkF7f3TQ+txxYuyVQM
INHOYElcNvgcJoj/blYU5KbLdPLmNpB4Rwjn1bUC7AIX0bxJeRw0F7+BMvXfOpL2m9ZzetT2EzSG
e2BA1owlExL5+m9Lw87JaIbqQ2vIiQZZN51qx3a2UF5l2DFcfkwOTJ8EXssHtOIOcDLYB3CquP71
wvpgAsNZEarWx+T2PR6+Qsdb08E/g7jIR4wgSsiwPn4QT2fDljXDhxFEQ1iAkvoIHKSQnMVvP+KK
IQIdw+YDCtmEqDYSb7FmnTEcNK/oTwYEJLxoq4qpWMxrqcEimpKPpcvqDbwkG0x33O0be2KSte1z
4rInjmJ7uHaIuF4ln/Uy+e0ewBl7ZSagbR0UUC1zz7lnrU1EKXjUllZ77TK+stHeDC7vEomhDCnv
aUQjGVGYPrbWKChqPkCjgP3GOOi5k21sXCDje13XJMYp8rs/5KSY0QaB41+9kNOZ9wN6IluQQu4G
NywrHAwrf2ic0QtnkVm7jBBwaDnDwayyAE/ydNwv9XXImvnYyzS6LnwWLXXvwCy+5UkkHgmk9iGa
VExZraY/IIWOol+5PLr2zIRdtfOGQALoOpS7SUyxk9WHtN9AZuj21mqC2pfpBkZ89uCOfXUKFpxW
kXbEg6VevlV9hc9ItRwaXPl2cx28Aw7e9u2YQnzh+Y8WEL9z4ws+igs2BMPhbgGt7bm7KEviMMoJ
tMoWHRzB6T5NoQyJCI0vY8wfXS27muvQHecErtyib7c92qEaOmxM3ALiAwEBtFgjZ9MHhRfqRUUi
kumhSyP3eawDgupOsZe9VYdjRVCjCmJ/m2EAF0oyyzuZ1O529tvhjFCHe58KI+VPt4BbkITLDJsB
tWQJ/eBV6V1pNYB0rbsZabrd4MzpBW5Hc2Dh7/DOHtBNa44GihlCk9Gl41FFHKr+3faWHiM24RwH
pGiSJCWEPHvGruui6lDFIt/Y6Zt0jeYxniczJKL2jdGbDPMo5nPphMM81GEiY+3BrWV/ndxJC0vS
9fdSjGKDZjMfXA/OCdYbZUWYJ+vaR6LdgBt6gD9ViwJl6WCg7RkGyvRoXoaI0vq6kV2hN+75S0zX
TpJtxEYxOMeRj2Nq4d8j5H4YYi0PB19/sAno7Cx3nkOj085dUL0J4Xp3Zaf9aid+qMkxrHu7bsqd
nLOf0gK/0yIqjnPOY9W36V0+jFOopbMXTrgMdMz7qEIwrehuccbIO9rNEe5BYoAp3UcRpmtIdwhP
+2VP9nixI+BbU51skn5yNlLwP+lrszhrYoACahEYnafq5M8DziB+1dyhOXbVW7ZUFlARC0tEE8sN
wLKsyEThXtopwNFlYvFktIM8QLLdJZMGZa0Ry7Fwcgm0sn7tZPWk6QDeENiWB0/KT0Pk5sZqDZsn
LOfhC+yHpZ9gyS3xyY9xLVpjov2QZDvkoFnBx8a81dl91EEiznCUdLJXyzcpLbByLAu2PBRwKPBZ
3yzThPtQH3zmUWmHnTcQ60CmacrRhpbuA6nS6ToBMkSzSO5zP373EKvZTYGJm6nId8sUu2yGB76g
YRB7N470nfDydwyBpm1DyGyH5Kq+yxPQhJUWI7Ri1nflhB6WjJiiCte2Qg9JuL2WDt6mK9JuI6Lk
QAwuP2dI77q66V5Y499hdtkhY54+WoahHWoepDCaH3MAHGORiifJfjZ2SDRbPnkTAa+kayQ7Vr01
Wemzs6uteDoUtWtsUwA2ofCRk00fYjE5LG/ksClASG4dL3tKAnFxHb/ddUjkkrcu9P0AHe+4eHoA
4xeRE8ZwqDRDVux7hN+X3q2Q80rxYkBPfR/N+k56fhtCV873UeAwkkQi3qHy9Gmgu7Nrejm+GAVh
oQL2TWOaWH0FAZ6lFsJfTZROW8wfX/ipfGIs/nfCn/leaDhdzNbWy8HIxATlQOt7LY4mLYJ2ZlQA
85nEe0J8Bp7rRgMbCKi9azcDS4p946Bg3qAEATq86p6bHAqXRSIwIOffTiDo88meQ52VtN1jDcb4
8wOZhfEi0vxJi5plM+hGdC+k9ena5OGXoT6nfSZO5cxwbWvAuSqyGbV38dhlQj294L27NXCh2zSN
gSJSFUGdi8ApZfLcmSUgrylH0zFuwgiB1YOusWcZGqf9OjgLKAi7KrBGcp2nKMiWPRxNzDAyCKn9
orFTn4oUIEDQnLC87M/TKIazOrsdYtfuz0UKdApODTO1R7gdfPthLnP/wI9bn61cr88u8a59t1TX
GbHfM5JIyzkt2LQF8JI26m5+RzKgz6dDQ4IRGZoL0Qs/JNR/FUbQnrOmfG/9ggBKaY/tcUkKtsgB
rGY/n5El7ufzaPVomXsSL1zXKIrQcVBnMUv7NGirIV59mOalPDOLlGyCpmjn9NW7m4AK6Ia44v6E
WiQ+u4VdbbSkSthL+dFZHVi+sg5NsqtD2H0faXp7XvoWvazRObQMh+dWz8AuJixLw6atXtOs+112
Zf/1Xakz9TUli4P2+RwtPsovvThEqxul2meoM38trtZ8/N7bti4n3jQHd4rGsxu/QWqqGeh2BlL/
7C7IygZe+m6VcWlspN5kp65bSLgvW2PMngwtSHGz54ORfHOQoUQJghW8lFG0YZBa30DzMFTymmkM
F0jobpJsjoow0aPosOTNcZQNwgolrohpcho7eIkaizVgsJN1Vu8AMQ/ywt7yRtquxq/C8peNOpVG
UrP9jaww6QBRIhUC/fu1KgO2VqNNvAZDqjNAB/Ms4Jhvag8eW/PDX/IfxF18vtkIDbnBdHx2x5Tx
wMIGNREn9VvV5lSd2/WgiupgI+bB33z9Kf+rOcKI/h+9Ry+Q+3kUBBfLg1GPG8yWP9mc9Btpowq3
czUbgZEyOw5NEZDUoUNc4/9d+Sli6XPYBi34TOE1QO44DCD+9vNPgacEGcDJ0Lq7KO+TU64VyLk/
9NgE7vtkeCqj+i5jHDijko1DWl18R04uJlAuoWn1eMwu5oNEG55wuObvvKzVQoDRpBPidHmOmqJk
7F6KvTHGTx5Zsah4wXf9rdV96zCsYQLdcYrzFCMT2bbmZTawtjlARPBe+pZnOBh88JJF9RooGiT2
A2UMkXIYT1rlZjw6/nwVM4JsjqdJVk3EGQPEG5ohP0e6QJe701hWQca68NWc0ILRnHAh6xxqEyAt
3zLDLIjtFxSPyrrOzkG1/OTHxp8G0OrJHku8Nc202yakyMyxC66jWKwDQeUa1tgmZQuxdVpZPegF
pMaBbdRG5HUa9nlcPTgpGWeErBDtLw8Q7ZctWZiAXgg+WxPKtnjcmP6SfYD6by9RmdobLJHLrdSW
5i5DOMMyKu29Zpjde1Prn3J8iZ7wziQn7Szd71MmDt7S4T3f2S+eJ6oDj0B5jIijv1dlhGJCqn3v
I7veIE87gBgV+VXT2ffIYNjVeSK+x3XyRiRpgwO3/TnE4glBVO9XIYinMS+YpeY+5BHLlzJOm7DV
sW2zpfuDyLxPLIAxytO7/kiw5JnUIByXvoFoRbRkW8UyO5kozm+9wl6OqJguh4XUwRaUprVdtE7u
WD5uq3pMD3qzxjsCIlIlkdZO9O4VoD92hWJ4LuGTWGmVfEZa7cIEJ5lgvmS1Xq3klWSnW+7yLEf9
s5PGRzl2DerkECbJ9pOHwasl9dMAHaCx3KK5nD2JNCsgt2Yzg9Sum4v80hT1eHHW6N0M1He02uYY
DK32hvX1TgQWIVUYe9uoz3dTnMZvIAV/CIym7u3W1F4t3dGwz9DHnd8XIBudKtnn7eR/tsSv28AH
Wy+j+ULgM97mNnJKAxnkI4r8Wx8l9+8yGK2Nl3nGAzsA69TWiTxIuGcvid3BeicT/qtFPtgJ0p8t
hsSspw3rKajyevUesY+BNYgnq4kIbWii/D2vfyErkJAjTepwad3gBbRxtI8TD8Jws+CxtWTLAyGG
n7PZnZZZdC+j7PynHmGLpATPjNF0e0AJnOFI5b9z3uxZ5bwzcml5eCt/NaueqlKV1UF1v119q/vP
W6hmd4nUOI9YmXaKiXzC/lhNjb9OqxG7Y1VWZ2q+GRKdTqr8j9Nb+627qlOHf9Wp+6i62ejKraXX
U8jeLkf7rSxrJtX1VPdYwhBO/avWGmwWBGt7rgHZ3eHH9mf569Kvo5hJA2qOto8z0ZzVoV6n2dGu
EB9TZVvOf5VRr2YVOaR31WzGz46h8zj4hbUBRBQ/q7q6cBndU3s8qDp10OGm68kY3X1VFW72GDOM
3S7qcG482aj5f9WphlIuLfmdVet4vflXXarJ0DAG/XSrY8e5Qczeeqjs3Nglfh0fnBqp8UprnKte
2/o1KoKEqW/qvre+8V4ARH4xdW06L5Eodi4GRE/VvLB9iucQibfqMwFxcUgxgDySGIG1DDsRk72t
YQbDdmhzYilRee9Wg7yz0/zgM8decPJkibRk+Qnm2CFjy38pkWw9IO7yVra5d4V+qO80tl0MK7F7
P3ZTygpfv8+m7owYSnHBvVdgqQOQGxTVsrMCw8X0pEA/rlq+Cw/ZSb7o4IWA/n3ZtfonemvlVoxu
udMX45F0c88Ws0emscqmjUTd8GC3FZkeHUEmw4Qox9J7mw2D/tZ4I4DRLlvZFESScvyhsKCKrY+0
/mnJXrJTBtDYx877Mtr1toA795wniBTUU/WDWP58UVVtbPbXIC9OqqQOEIXjvYT6vVX9VV3Xm2+B
M7R3qjQk1UKGabrvujkAp9aJbVVk43MpohIabDLutHgcn1VdUrHYBRx1VaUAV85L0hS/kKH5s8My
IVVNVBIMynoPdSjMP5LREU/qNkG9JCcd68Lw1mHosXuwtTY/qbqG5/au06JrIMnhz9UWvcT40VgK
HRPPbN57fryGJxi2VV3sJE9FSQZVVTnVAOo2r35X47qqSsZl3ui1YR5UMZ1l9TwTFf+6Q4kFtglQ
SWFeFcgVOOhjWqfeMZWMr0i2/AW6/eoiF9bnRvTbrf7f/Qjxl8AhLXOv7nfrOBjJy0Q2jp1NMW5Q
cKrukQy0T9a06uc0yRSqOnUYKr2679ZDnGrAOc15WTWfoOb83XDrbGSLd6xN/fFWpc7mPKrub3V+
WvzSg5bVT5sEod/K9L4ySRkLzHq/zm51rtYBImiDs+qhkWH66lbGTX78H8bOa1lOZFvXT0QE3tyW
r5reSd26IVpSC+89T38+Bn0Wirl77dg3BJkkzJqQJJlj/EbRAcO0OqrjcWlihqJm7UdAIOjoM2c4
SVELiww3hA7etWM1H6HvLyCfJVa4NI6GMLvEYQioeikOYVfiGAzOBKkm1l6h/WF4Kfi2wiTCvBRN
kuoXvQG53w6d/THm9XAJFWZscjQdm+TS1uV0CEy48n1rOze/ZlJiJ0TnVEULEUlL7Xenz1mCeeEX
KVmZlrwteQIpRa5vvxumhUpSm71IVdEFzCaycr6XIogpc4+H458VOg8Hfay8dyvqFSTBIuVoeZ77
rjE1uqg5kzopFki9oL/GJEcaGwwXzzAY7uSgD6Lj/atOt+73w2TwXpXls7pcNGmZ7rael99LQ2yJ
mdNNHc5IGBfupG7gy3MMG1SoPNb3XlT2kGj45I3yYZNvk6s7PuHOJY3T9tBF9oatzxcnbU6h06dg
P4PonKMW8h4ML2VZZydPwRg6HRbdy8F+I0hgkfzVumMBKutDSXqiU6n6tQsSvu5Tnn1Y2jgxz2eU
wzQmZS5uOHdzBN0ZHdH0o1dGki2e/wU5aCw4RsSfvc48S6kqh/rdMa6MjtHRxsvSARV0c3Tdg76V
IEWd++FHMxLJSitSUtBo9IuWB84+JCewRPmcfQ/S5RilZncijLXExlym89nb1Bn53tSz4OLpB8RH
3Wd78YORjZ5eDFN5MvL6a6crWPG41fTEj0aGoxiJV6esXRQDWmRM8ngf2CVUQx0NQVSzir/avH/2
/Up9x8lQEDe72vT8t4y4VlIxV1eVivszaaCLlo3shcscwy7MhyAP0rVKG/3ophj9a9ykP0rbNS4N
NhaPoYU+3MQU9y6rsj+Yezc/XDN87MdM+xubjVPiNRaLpadmmndMyHNy2G0LXMJKdh7iyl+DBX8d
5vUuwBvjw4ybawSQ94eWIQynPKfYmLzqdnGHMm9+KjTitLkS50d3iEuS3tFXJn3VuXchMoStF6JP
n7TPZl/UBALs6Ecd/qUGs332Gm1B5+fuYVKJEeZxWGCc7RK0VUHG2rP+MsdD/j508cIuTMObFNMK
vVFAE/cw7+1nv5vIQ3VDBVfDGJ+j2lz4ZXFzAhUcX5oKjRBLyS/YPWHikNr1haBffTQXWjkrc+OV
qT9/fiYHSYLiAAjqGCsk+klqpbtYbyOCN/bO1F9wHXwNZkYgg6H2FPh6gdt3DupL0coP3WnRrM3y
F4vV2kc/u9pL2+gnOYb0qXfX4aG9G+2fHYPzhxk63ltWIs+PRcZHbxkTLtqYMC/HRoTgiDXjarqU
VPQWX6ueyP1S6kkWv+Y48UoJPeDytfGSU+iX1kdbVJjt5tlZjnWepb44fn1ZS6VZvbTDfDXVREXW
Qr8kVTo/ZsumVYe7OW51wjWUyq7pT72r2GgZ6fbjqGsOa94p2xHRQTNAKo3lSGzxjZmm7C7Ta/tR
HTSO+lM7H80o6hGsXcpySDYkMLF56h+lsF4qqxqLpGpBGDUbwsvQZ4QlmxDDNNeqQwhDKIdJsVj+
AEkAm7MX2DNZC+BEFMdWp/XsqvO1C6f3tShHtLrsb5GVPGZp/4dZxMU1I+L12PfVPxsUMJ0jvnLV
/tOBQfXGB52fsrVtDUczds2oVTsA5EiLLFeJWoJBox4jGGD6wZORuOMp7CFTaqkaPPEmQRKw+3m6
XzyMpE7auVgDPUnRrcxnGHdEGZbzt/q5apAvqm0FXcagZirna4dw8kMYp2zyuM0BGEOxHNKSJPJS
F5mMnggBBcA57PY9s/KP0q/CRyl53uQv0EocyZeDQxsrZ2WwYxbSefeu2rn+YOP7AWKkBfRCiwpY
KovjNymENTkm9OrneylqLVAOyHjpWYrllMdXf/BADi9nIuOZPc1DtP5hqbKtaR/VafAqJSsbCLEO
aKJIMcL7/WibSyB6OT20rfIGF8PeSTHVHeu5hoIrJfl9baBfUjurn+W3ZwvOa7RiBT/N5XcvwKJJ
18qjFEvM5emaOW438tvsDBmkGCGopSRXi/z+OS0J8ZJYJrVmabm6V6qmvtkkCwgkTxVjtVk0F9Um
MxRg/vnhjMW0i4PA+QsA8V3NHp50vE+NNf8ibvFlIhL6Z9lBFyEpH77h882nnqnhDo/O8hEER3op
C9u/tcYc3vm+El3IQ+aXAhHPJz2Lv6TIs/1sJ+fVnPBrd9zyZ54VNpbLyXjTSkyN3Rj0DbGf6OeV
RHxDBJ+FgRa48WM65jFInCC4I0V6jsf53Z5zY4ccJ/CNMrUf2rkr5l1WaXRv3tQ+zZ5ko9h2+kQ0
FIls/y8Hhcd9n8BAd4eKfFpQ9QCugJ7DoVPR2OxgsXjteAdYfr7WTfUd20zlamnZ9G51Fd1ufNbw
g/+C79qPfHb3JOhR7i79U2iHf1ddljxFcYRubeooJ2j66pfSijUmre1Jc3X7I7TPpMTSr8Y8DydD
ieKjq6R3geL9YLqu3sw6+tuMiu/dGJqkdyrnooEYJcvmYpyF0NhYxykKTJAfvNBIvg0kidLJcoEi
VSQrHV7spBq9gx6SXqoAArwWxZmIfEzKD9PzNo8xf0GdmCyB9rWaA+9ieWQ+Ab6nxypEHtN0ACsN
YOGbpvfvrW8urO/HIddeDbW5QUSvdmShgpNaEBGzkLsk8DIS71WZm9eO8TSO33QcT4yXorXdy5R1
yB+OAJTrPXFG5aIp5NXgNFUnuPM68iC+cfsB1EN9TImAHdBXsg+5nS8+svOVzyMSm3bwZ5W59dus
89GmSn9ySNwD7nZCIqZsFHMM70cv/jHlmC6OA9q5WC3+mqHBlK3u4QYYNHurD9sXkrfa2aqs8BZY
OVH5qHQPQa4aX0B+fh+suPxlooJJLujvqOsqyN8hwfqiRBxiaLudikjdFee+4VUttOi5AqUiJdlU
VqudIM4THFtayMYvdZAuo3fnQ1Z5RUZFA/YXX8BGHGO8GJ56zVTfJlKrR08n1y1FCyHFxyxGC345
2IMufBsMyNij3d9LlQH74OxEdnVo3ER783qjBeUJgGgpSZVmWAi+tWlykxOWr8/V4MvM3CW6FJq/
qH2W3dvkA2k1o/JFSnhSBcfU9bHQWQ6OrGzIV7c3KXm61r1FSgpCwEGSXup0PEKuvZfbsGg4QTZM
Sk68GtiLLicErjIdkypRQSPQgll1/NzpZB+Wg8qyGQcCfwqkgau0INQ93PwCFajtkoGb3hBfTdbf
nEVDsY+86W2KCXdMlqa/NT7WaHkd3tIs5EtXtPEvu7XRlWbu9OqE9ms6/CzxxH0nprmfDGvEmiQ3
3sux/BEmCE3IMUK06h5xSu8CYtR8tzX8DJXeG47SNjf04FZhU7OXo4NKpgf7devsm89870vAMPWU
3byQGQRUtOhVNoijFMcq8Ytj8p86fYqyXVB5iHfbevQ6BSMoL99D+9s8p2FkvLlFZ7wls8KgD6bl
KsVY8bqrNgMPkSbaYBtvfMAmJ4vW9nlDGnlEpfViL6dXQX0C7u4jiA63rVI651U2Sdww2jXDeHWC
2Hlt0UZ/HGMFmrkOAK0wA9jRONKcpTERwfAFLTnWNH6b70H9Nkdu0HgE2PzP9eruV5Ep/hFmP8Ao
bFNe4dLpWNw13VqUutasD7XG90xKmJgW57kCYLcWdZ+z5uzsA9x4kqrRmEnndbGKrUcVvEndNPs3
LefFkFLdKv2lteqCFvxR2fT29FQCDnlYq2BB4mg1eDvDyaNnx+U1b9HOsifd3JHbJVNsDMGrbDw1
PKuFMT9KafTd5jGq3XOhp1Gyn5slClxXzk6OFhFf+dTSCZ01SXza6gwv+dtTVT56fdm8aBGssr8d
vEXHRn2VDf0IBY+ebPVW55vDRx2p4z2KPuprH/jxfa3Zf2wNEtYpKG80zXmrc7Era8f1ok0/IFiB
jNDeGu3pXo/i53b0ske+gdkjKfRbDwniJiWMMm11J7teGr5qrdlef6uT06ym+F63fnDQyioD5JM7
L7Jxa6KEDoQAGOrUlaoCSJdcTD0cEjiqb3Xsl29+UhJe8+LoLHVZlBOrjIGYh3lR7qfKV3f0ff8q
jU0Dj9YClWLDBP5TqthhpQyzx6CL6rd6Ll9bAoUP6L3Wb0WCyK0ZKv5ehQ6K18Nw53Rmzw3gYAh8
6kAiFaSUZtdv6lTHT03sXuWgVOEzphG8b7yrNg3l42SOd3Yd9jzPwfhozKG8eWPdgQqaguyhDspj
Xh4VdSgPTePUB80KZoBHfnMyFcN56BMoGnHvJ4v92BEft6+N4Rfw4ft7v+wfrD5AsT0kJwUv4bvf
xScrRPAgsVjpFMwAvFKrLmNk/5zdHARbfVX7AOaEEoLpVnv90DIH2TfMPnIPfyE9282ghPdjpEAk
9fmaS7YPfAzsehMMuqoMNxATH1rtROeADwIBbhVIOiDlvtfv1BmtuVZTDJILsJNc5ZyO+hfWXQw2
oBcOpaE+Zl16xYxaua+6EnpsP7jXrIcAZxgfcTPELP9c1smgPbM+dN/mzNJuExlt4h0twUSj2GX5
1MKZ2qkjTrqoE5O+nXAD8Mo+2bUz30gWww9q/6KFjfe8iPBNkBjsqTLhPQbGvdnE6knBGGVXRF/m
eX4nI3SIWq08FXbr3vUZbjAEAtjdNtOAArxtVHeIln0FYTHiQtf2p9IJ8XHVdf+xz39ymfCG3Iqx
Q/d52DumQea2ULT7jLlqZo3qi5Fy5aHK5jsLwdkgBCSSKVguJjqcvCm5NNpQ3+rOr4/YRw6HxnGC
+9St54Pa6l+DEf8AEFPdMZihaKhz+WIB/3ipdPNDiaPqkqHWeI9MIrgSvinHtHHa+7IoiJLoA/yt
2d8H1dTfAyS4dDWCjG2d7PO6PHvZ6F1zY6oOKfMGllZmuDNw09rXfXexqgURGHTa0Rzs5ARA+DtS
TX8tZqIXkyz5nrvV74HDdXvU2Yjg0W/sRgGul7TtncYWnQTgWmhJsGLvDL72hg3bRv1eJfoEr86s
7waABldlCXgYzYvMqLVlWs0UhW7UkQdJQ4RZ8gTJiGho1Q89+6u3lcc0heeLOMo+jV9AL/+aXaO6
kX9T+RImNZpr6m0qKu3VhOFh0u1J99r1kIC/caq9kYfRfZdXwS0YmWFkGu/vFOLLk3YlcnvD0nvL
jJCV06NJ4UQfGPUywUyIodpVXZ9De/rumqp7P7pJuycU2IaEQlewA95q5JZs5xr0IY4QAWQaLce0
rKiXSMlXiAD5foijn01W4pIdmRe+5X0CYgV5q/rEDf1Vp1jEjIThyT5gytFW1jOBEX0Xgy47+HHz
5rkNHDO3wf1NNYprWDMOxoq5n4e+2ZcdMYE6f0bTVL3vo0i7b5eNY2JY6UDCTPNdqAf+0exA6oWa
zgpFcTrGXqs5Bkni7gFlnaIi+KmQeUCJIUJRiFDGj94ayi8tsuZ8tC9djo2d48Jp0gNyIOoIPdVj
evwQNAB55hdWJO2evGdVmo/Ymmc73AA+0lgN+fOOtUCoDxPk4qfRI8Be691EVjh4RViFz2dbgVDy
1Q4cvhnfjyAvd9hmMatgUdglKhwesyV4PafByfYW9dmq/xm4foZAmQG80dVTQAxmDvDQP4czVo06
hPldp0Flav8eIA1GwH6PjQecr7Ydos7OzsxbdY/QdHFUiw6EcqdgwKKpCvKR6MUEgU9ioXTfpmp6
HUO7uSfUmO3nbkIULWufYC+/EmludhZ68ldv0kGB6r51dWz3pvi9d1MS371ZC06niru/Gte7LyOG
WbNRGMbSqrrMKCxhofptAIh6rrruG94HBpxgOzgqZTI9DHgV3TsEj4uFQByk+lvquHfgHyZm2aPP
HRy+jazaiW4EwJfi+Kgbnb9rCkgUWVwRqGgDk6xbaV0qtyp2VmK3Z6DrBaA4zwJ0w8fgBJn55uQk
pfQCzS2kY99Kq3OJ8hTaIYnjczm15rmvK++P1HuHy9Sprf9jtusDnHe+pd4CkVF+REa/z60suOlj
gD9ipTYHVurepQd4drbAgYI7ISWl+CzeOgj3jlUQ9FDNA3PGB2+0hud0QKPIoYSYTHJszeA9zxT7
bttUQ+GsRZuZ/9WuoYhh8/Vo+cwdvcECx+hmAD0rzzv5ge/tQw/1NY2hb8+SeaerAa+ibxp3cx2T
NmX28TPN9WMeJNNNnZFvQijqRYuDv63FIQqqzj26xdIZWZ3xIV42i3iOmY/avWrW7cvQt9NjGy8j
NyWvDNqXOmKqW9XpuQwcNdynDo8RTNhVaVl/dH3KzMOKviSpjs6hWTxbxmifxjxi/b1sfPdh9jp4
aK0WH5vuJXWa5BayPLilvhMdjAICAGzs6M6yzRc9MGBveCM9CrvHAcQV8b34OCj1y4xBJYE9Fmfd
InCmZRfBgNlLRhqqMLBE01q8rkBg/mejdOSLerRNCw+7DCNEUssvQWqMmdcSZsGvwUH2fEkEKLN+
1H1sXTHcgiOBGagHxzroQWNNwTCx4vQ5l9DIPYLSVzpqcdeY07MaziPUDt8+jKjS7KeliEzBtO9N
HpaZugDNnDCFV9IhPTlroIs8s7gDkXEZJhgpwJUeO7N7UVr8n3IzTg46JprzXjBz4ULgt8CfHZ1h
yuEUzO7jmGoaU8Eue/JIzd3ipvoyAzf6wGsDtGHxVzhE6Yea4xLjtT/dwqdzS5TAWUIF9ayz0knp
UI7nag+ymfiEAbDylIMvrdEAx16tlK0C2NMHKTDVuXmTy+Ba+R7VQX7N4pIhe+ycA4bdwENIKQCC
K+Z9gWJa5BQ274W9NxnyHgYNSm8NUAD/teGUNPw9JEf8h5gA6yWZwy8hUnCIj54mrOUOjjNCcF/w
RgC0D4nG00X/N1X2aV//Yl3T3rVDdq7Hms8kqMDEwdJaTSAJtfA46/rqhH8WeWl8RUIeRc7xVU8C
65IOyutMEGCht6rnylyMB+JvamdcYm8MydYfvHj2rmFkPcak0vapjqxSq+YI/xkgxu0719Sney2N
30eVVWpYBcgohlCGF5OmykfXJmn4e0CBvqwKEEFWdyebhDdYrtJehSPS6Vc3ONobsF0XaWxlYiFg
Mk5rC64+T/vmUKS29wwLwHlSp/cZBN+zARjBzoPmVMXJ15KJAfKVEdDKkmSqFOdUz5jzlRkATUU5
J50bMn8yUuAv1iEPOmNflUV/gR1RvHdm3VxG2CJ7KeqJ04A3ri38QpXmgeky/0/b2Qe9DH5OtjKd
izid7xD+eO5nwN6maydPAVIuT0Gj1WSGkcJ0eic9WrVdnUto4EYAO0NJkJjL+HkLU8MdkAp2QpKM
RbBz5jE7sop+MohzMIofsuypCwGL/ZXb75iWtddswcyUC64uBGFxNZ2naMGN1sakXgFGhAuSVDaT
Hn1RFMM/xv+pknppni2vXX0rA+6r10Kn22VFylaAno0Oclqrq+DgnyYcIS9W+B43IAX8t7EJ0lMA
ndduDbhFw/iGUDnqhnjerboaghES3FBmsmBwYwcl70VwQw50fgpJcvw+uU1wA5dlzUcmq/wS2ZU3
2qrgkl1kN5mJIMHC4t8b6gK0r9vqKAiVynlaIIXMZbNb0QO3Dhq8HvxdomhLHIHaACzWkazKn46S
HxI1wCH3p9kPoJiXG9csV5S9DZ9oa4k6HwWqKJXjnE3ZRVpGTsudQRYx+Of8drmItNJCddrZTpYe
5FcmaE2TgEX4bHH1OweNehaFEcfbQ3IfrmA4f3TL8xvNyLnkqFFLDlg2idx/2Y1ZIpPSwvhOillW
ncNS0fGfWX5TDu4zwDvjIn9SfgbOy2FUDYiT9NXRK8ufcl46BnDMl8e4PmGpFLxU7pN1sRbS6FY3
lnp3RmoFTyZAHyv2V3oDtFsy1OOUjkdVr/8SPLBsBmDUXQ2/jngqkiNZNdiYEVVOyhjvNkdJeq84
r1ANvvUwF49eE/JEbSRET23SvMmztxP3aSDuc5prg2HdGiL09pi6k94qbqnD8q8N0WzbHhrYYR0I
dRMc5HHJ05C9Eo/PZCe70gusUPfJK3c7r+jzG76OHugz2V02EBHoG8q5wuudsWVIZoAIwJyxGsYI
9LddOdvBkQIksmvkt3V3TnvQUHZ0kb83Ng0x6uYQt8nXedRvcufWuwS1dFdY6XSQey13JWkL1v+t
hvjKggGQZyJnyJ7Urd1ByrIxUhxDmi4Eoono49C9yoNfu6bcmq03yJGayOeuAsN+kFshP1Lva+5P
GxT6ngg6s1yr+t4utiHIXa7318ydfgZ4ZZwyZgP0ujetyluYtuEpnyE6t/r0qi9Dh3y2s9h2znMw
gwTGjm+nQudECbdBT8hK8uJ//OHffoPsYnsF2V0P9bXl+vRQk8GhtDf0gwwB8n3vkBu/2ACyxtcU
Lu96c1c4xW9vzW+gis930CCNV0SwJufmZIS5Nh9jN/ymdJl63O4wg+BNd1wo3dvgovbPGSaWJ/kt
vV89pfasntBo7Od9k4X37aArwDyWcWh5reVM2fuvdV5XzggHhMlBekIfpyemMCxdlo6gj0g7mXCs
t+6zNLCrmQamvh+QYLtIDx47a7hMucWypDrmzoDxkbuAK//r37WL9OqHYIW93ACusABStr43xw+u
vgAYjcKuF3kbhrdlWJaeJMWtriD6s4xIlj47R9+pBjAr6bMTKIyR0l4229v6Wxddd+X4XHnDxWvM
vfSE9RRsBc7Kl7YhQSBjIQv25oxC93V7w7e+LHVSDJZeqPb9qQGkdw6d6CTHTOns0mI7/3MXlLI8
Ndlbz5HyuvvpuBQ/1a3dtqxs+5+hB1s5EvypeQ3gyu1S4DFFCsitt0E4Lx8O3YNoGugsVCf9hA8F
eXrmBfLEB1vHGNR5yuf2xWFuwPrwXidiMasFHtvJSw4oZai7O2vBqs5j+ZIPbncyzZmpRKOrBzUo
iN30CMzsSPCehHcw5YtdpDkP9SGIyicH8+LtwctfleL6Om1lqdy6yadTiiFtLz32g9IZZVMvw7Xs
6Qn0JTOG8yR3Xy5SgGecwKzQ7XofWv1e3hJY7dTK7m+1g2v8kVuIKMm6ZcI1+Aip7k9buBQhN6yL
lfRKHBxqSLzgG8ZE/4h64O7ImBzlHstGHnu8TE8QymWNPKXf80m/ebGRndR5vEvMEoEyr7vIIKMx
ardwdkvUcw9hEaxfAKP9CSk/u8oF5cnLHiN9u7Bh7Gj4OQ/eM2Zx7opZ9hP7zcfz7JRLj9gGA1VT
nSvnbb9Pb0ft0E8Q77e7WGYOI2myfGYyN7MOvgVdSEgl8AL+AJdsMBP3kB+VJuTWoJwY6KKMmnVc
dcxksgVetzpPrnOdAOaQzz1Dj0SjOLL3GY5h6+xqXUVFWlCQc9O1dRCGS/1YG4lxkuvL7/LtaLy2
+tNs5O1JNY0Xearbo5W9vOt+xMYU7caiQOkfCvk/C7Rt4FDk2y/ldWLH8rTEkYblAxj/o5bZOez8
Nh8eEGQ3L0DTqpuwdoaoq270hV9lmGXr85UnsY0x24PhA/13Cj3TnLz6YEGQRhbDMXA4KXgJXEbw
AwqBx5JbJk9GunWgEnu0gAf7Bb4h/xnMpcE2om9Pcu3Qy3i/3YTtqOxJk//9UszVRthLD9tQLz9G
iutcfCvL3lo5R9h+MKFFmEEmukpnX1Q8FqWJ/Nl1yiW7OGzyqq275LX/gdWvH0r5nb/NMtZzy9zd
Awu4JyGIPQYfepm/khwhdC2vyVwgB7MPJvMbWivEk8M+uRRNGKpHab7u+ssXNAIM0gXpOo+Tnioz
um2z1U1zRspBQylSAya2TMLk39k2K0pSyr/NZddfX84jTJyHsUDXrWe/AZ5+sslSzXv0eguSUN9d
+SFmfdNdXb3KtEwmdbInm/XSy7RQiiSC0LwOIIBsjaXJVpS9bbM9xq1u+xufzo3yjw6hDsYwxkwZ
ODuAAPlFyvLmcccTlvHL8fXHz6VW7CJlUH+bRsojXHve/FcA0f4q3TVCSRfQ9PIMwq5DckN6yr/v
ytnrUAUop7m4ZXr4TAUJYIpsS7hPnBAheMjR7cC2BpQDstnaSXHwfwxanV/XX7/05JXssb0z63xm
7cxS6+l5R/7kP++d7K2tZPdzWU5ar/pbq89/4PNZikZio7XftRmpWRlXttmDnPtvdVsTObrOs2V3
28jz2IqyJ+f916v+tpyR1tLw05/6t7pPV/30l4JlwMdoru5CGH3LK46HM7mKal7XqvLCy4ZQCuRM
aEQs3pcw27bZ6uYMT1Dod7SpWoPdtZEMt3LxrelvR2TXNwMQQqTg1x4tL4u8J9vLsr1U/7VuO03e
O2n3b3X/10v5c76Q+4sYtN94cHFoY1q7zIXlw7Vt1pXsVv4tVvFvzT/VreuJ5bLrX5DrfGqz/oUh
8e41Zfildl64l6FB1qCyt32jZQzZirK3Tci2xp/qPhWlnd8jGND/0GokEZLChsjHy0nunemtdOF1
V2qlPBPKZlmdVdlJ94q3bXgHTAVtfCsr80Ijl7KM/MyFAiJKVma5a+jID6x23svwQPQfSdYGZeB/
6GrroGGrxBBkdCnKGRIm4m+Hfxtut67gyKJ/a7N1g63uU3eRohwdgyYlZOHC9BrU2Tx0jp7Oe1n/
JgAMCBcl43vQDtFpfePlpmybdVjdynK7/mtRDmyvrhQDAin/DN9S/nQFqZuzBOyElvAabYP9OrFe
j8vz2c5s8Cph8ZZdLQIjxhIh+W3luDWTc2UjE4OtKHuf2skgutX99o/LkU+nDF6lHGfjAVTgcw2V
AtcAaUGk3NBAciwfrhJHvPZNhi4/S7LsInemTPo8u8yqs2syx7rIy7490fXd/y2Y+dtUYWsqe/J4
o6Inorc2WoNcuYPoiRFHyKToaGUPs1eSjkHNRZse5RVd45TSA8ZZj5s/5EX+J6pVq8ER62xSJw3J
wTzPrgkSwbDEIa3Jpm7IVu62sm8FCvpnobUrF91hZ7YwIGNA3iIflq4FZ1P374SzbZEAiFS0a+Su
ynOpM6hMelW8lzE8E+GT68sDnltEd9o1nvnp9stN/e0RrUvX9a7LmkV219c8Ijk5e+Z0lLssf3bb
yA/YinJjP9Wtqzo58pnMubWUw9u/pIehvrex1tthY4hVXJD7X7oiHs8GQoBHHcYsRahnCJAWV3wm
OWrp5M4MB5me5ajnAfPUkwTvpjp4i7TsrC3XUJM6eyiDut1Jq7nLxosyl+ZB7TNAesNQ7JqIV102
Xuaae9sD4KmBKbpPE/ekRqGVH5EMwnCZlf2RqCSo4cm5NnrQPMHJIteMaCzE88zBvShW71N/fF8Q
7a8BMrCv8G/qA6pxI6ocFKUuQ/AoS0hP1CMqELFdpa+x56AsaHYPU4wWggNs4aST2z97lj8/p1Xz
A77jpTe18suYm7hqpf63vGRKXuMDf/MDFaR41rz33mz95RGtJ7PrByQctBZ1nGHYBU1df61nML0s
ycsPXU3tPYo6wKsiZLvUYrEFMAklz7lVod+kqocKiWCUoUpw3BgxVo/jcoRQEmYCA44CYaKdm8Iu
H+cpqR5lTzZZUTjonuU5wsIE4a0iDg5lhfyQPw1/miTPzq26SPllamVgR4ISx2EJAO9cn5VbXMSo
XqsQPg0fI1EVBcNDmxVggrx2YD3cFO4NpAbpNY9ge4vq19RP0fOwbCC6RM++mnxDVlO5SlWZYdKN
7iKqXAXCZ4ZFtsYJnhvUsJ9VMqHPqaJp+2kcA1YQHIhtD2hVanMvcyxF8ZDdTcPQPWpJ5z3Ny6bO
gO3Z9C3Y1bTYDoR6lu610sEVbSA7Y06YzY2jji6M//eURPPjWgLNgfKvQ5/bzq8iy3tCZSbaV2G7
Q/fUODqaZR6mqcnReANMXxiaebMdoM7AWrWDbutJu8MKHhkMHMBLLyzvK6h2982y2Yr0z3NSEEMd
kDay4aaV+i2fzdTYa6ah3WRTTMH/ryz6StlPHix3L0wJNiNq8N77AEZde+z/TIb8D4NUOrhw6P68
WyZ8ZpCJoBWKCpWYfv6bdOfXME/0P6cmAa2AIM57MGbArtHBepo1csnWlFh3lZv3N72P20uaxsUj
j0CD8t+qr82o0Lmy1HxQjf69RjXowY2Sp8GuGqivSv0a9ySOHMQej1KUA6RCP5Bfz4/1uOsx7thN
S/NYSzHli8FyLeeRwabKUaDdMmYcfjvZyr856WzeyaXqxtQeHS+8QA7DqTNDFu3EB6c6bL+gDZJf
YTgn63VrY26fmq495iqyNnsfi+U+yN4wKpwJ2hcNa2XbvINo0bzCPe8fCR1fpYTRbvuKaR1kqGxE
rGlpIXWOUX4+KXHfVRc9LlwDAWpD+yFisewqMOju0U/r7+uBsHKZonYiBxyULK7IYCag2bgVuqm0
Z8Q2tb0U5fZkqbp8qhwwYcv9sccRoEu1TPTisz3+Wv+dNMn9s13UcM6W+4fqNIi8bPLwp6fPjIOJ
corsyqYKZhjuW1l629giIflbpRyWIx3kjsPwBHAGBF4w7MB1YalQVgxKev1HXQfhpbeHAI33sPpW
lic5Hg9hfUp1VJuqWXEIWCsubuHEA69NEAX33bIZEnRPXMM//3ag71PsZL4Evh0foTDEd+WY4WG4
bGRP6kxW2Vg22CiqxVrU4Df4XxrKKWvr7exuxBzw/3JK6g7gK1Tt/PkybVcgcvsyPpYq0cD9p18n
reWPTEWpN/dpu/AoSDuaVgsDFkXKh2jZ5AhMPEhx8n0UCyN/gLyuxgTXl8OlinL5bmskezjo3fHh
68gjc3LsElUJy8rDE2NSlJvzxQKKj7KUHP10qhTlD7eojl4chMDXU+Wv/XZGppvHrgSg8fnA8qum
Mobs+DIX9h8p9qQgl2Y3vWunKr1zxwjAiYbyZpeRZ1TJVhyTItTe1DIc7l29/p6Hmvo22IX6pof1
Y8cA+0huGqYLooN8/XoD/S+nbvU7G2jJFzfjUiRzyocUNYMvUaV8hY8cPMlBswwe/CK2n+UYSOFj
CqHuNV9ajvWXZNDMd82Pig8tuUoTvjnZ2/9j7LyWY0XWbvtERGASd0tR3qhqyeuG0JK08N7z9P8A
dW/17tgn4twQuKJKCJP55ZxjynWN/fISVMl46nwlOQ/zBLif2jsirpg16snhmY0ab15c9sFoykCO
Z33JcU96qUXtEudS8pTaFRxtRWtWy6LW1f1OIzXVLYQOEd8x9Lb7RYwV6CJ9UNchhsqnuiMWQcav
t539lU9IwQrXSD2xG4jMvBbG8ICEpn3Vi/fJqq1nXbKaQ1qEoJMMtX2tJ4QUsqlnVyA6sHSD7o9v
Gs0rki3VnSJSxI3ae1AQn8GwbXr0nsxFQbOeiIbFL/z3KmyRf2381zpVN1HFptOp6O1qTV5bAWHO
zB9SSTcOddKOMLe7/EHFMf2L6Hdn2SghY3tAgfGMk1c+L6sMr2Z8weqL7bI4QJPYK/YYr5bFKrLE
dWKUbllajtj28lmG9abiiD7644QuIdcD7VjBisEWXXlQ2IzsTNE9al20eGA9QcuuS683D8uWrvHs
tVB6neuOtJPJ48kDMCZ86uSyW+HxCQ/LohnKBjKFsDsuiwZBRORAqt5pWZyk8d3inX9ZlsYuvfK8
zq5ahL7HG/xdEPbSLUkb+Rx62IgDj7iqPiuvCH3WYCe6W2E3j3HUyEfECv1NVRtulQiqfBlbp2WH
ZT1cxE0hVellWbVMBJSj0MDAULUqgas56bGp4d+W3SPsaNdM3Oo631itVRJYWK3BmBdHYzTzY9hi
lpthwcVRkpnUbWmBmZVHN7I7oONGWN8FikkU+Kg/QAhLXmW9tNdwM4vdsohHB0m9mj8VYgBJqXVo
CebdlG70HJh+qGqygXRluUEoXiavqKjTLXZ8c6My9vFq6NoxsyT9XgSpeS5iHYHFvFszyl8jask9
rzblTLNOIY2IOWueTErirajg1eh3/173s8syp0vNV9mpyvZ/fV5tEMC0RnRXDVN9GaQSuXRugb5D
1SV4E31lsvcoht54qs0BPlCm5qc00AzIxmWCIq6fnrvSui27DlpyqkLNfqnqTHatKtLPSWETwFJV
0FLgwj5iR/qQgF+to3xlIRs6yQU3lTVE762CQEzXrPrOFq1/kAwz3oZJIN9DVamc5fDm9CIXdv3R
Mm6EjEhEcBhHbUfNtoC6W+g324A5zu1uArZUMidOqxwyLoyqU8Ez9WQUgdt5anSogJP/teF7n2Vz
8bMWHwniZzD+rjz5cuQu2wN0j6flaJFpsdIosROWpth/Ly6bVVuJhw23dvi9p6+oN13E+lY2erzb
P4fQTXE0kJcfzECX1omSq8RS9eZOR++7J+umPimaMDdGnI7XkRwXt2vk+pG7UUb6Y5lvtJ1vsHmk
P7X9YPUxTdIh1ze3e6PJxQeeRGCRguc8Vx83bRqbmFT8aV2VZXWJ1KbaCa3sD6HV6KT7egWxBK0J
HwuxKg8+nJlqARbL67zXyB8e41BIXxJKy+8vSjMFVFyuf45J/x5IkvmiGHUK7ViZ7gMDNjhNFP8O
C7W1TWeouCx5ybFLIn1LOSC5s7ACoXGudepnPMgMbwpeeQC/YT6UPlWfHGTUSbSwaYTHviW+UsjI
ats9+ERz1M2vrkWzDKe4frAb+oRtVyp36DZa5DkkLOG7Ml2Ka563U1WNDKrBnJEGckJanNKmx2XO
NCuGAEEgnNsYrAv5Nb8Us7cfssR+UcZIOovOtjkH4HurIKkOy2KrQZ7LzKjdq1EHmEqhXbZvC6Ru
eW3Zjz6GdKfsA/nclYX3GFbTq6r76mVZmmYFuKnqd8uutmIeQ0X3rstS0PnbJimSXyJXvUdvYiwx
1+v7QjPNR287eKn5GvGq3DaD3GzNpvffcnVb9ZXxVqDIIjKnrHa93+cvxNytOj20ftGPPBHykF8q
TwKe72PeaLtAcb7XzRvCnBFnknVnJ8uwBXY0chMBXtNC7WuJO9SBqQWm3z7+7FBrleaWRqtveiIF
L+084cIY3ZpsZHdZXDYwYJtf6om0LSKrj4id+Ga/LVE3EDjqULvLL9o8MUDxHi1JO2dmOf2iCvDS
FuH4Noaz0KPBzwEHCuReor5EUz++DVWor4Z5fTiv/+/9LZBLP/t7lsdxkKetat8C+Pb38X/W/7+O
/9/7L9+rlj3ObVusRaZHq54O+63ox+qmmkLdGvM6cBnVbdmQ0fn9XrfsAiiyvhXzun99ljcnOCvJ
3kYq78Rlos9uS7us5Q1XRvrXOpn4aDsTm5/dlo1DZNtOVeE38Is7KW10DJN4vgal6v21yb3udnBs
3HRQ8rtlMgj+X3n3pDpKXa7VIJZPfokRj4fUsgChXT4182RZNDQJ0/33clq6Hd01WI9/b13W/ywu
n1jWwbY7ZiGCtp9V30f6WU546E2DdVdwut474j8gktmvMX4mLqoi29seXlJ1MH+NRme/awDoqBba
/Z1uWQSOxvBW8kQOGX3FTYzxeF8X0kZT7ekZIkO/bTnqAjx9wpa1X74jSJHzdWWjn0nCti9eqzDQ
NR+b8Io7lbP2iG5EJ3VA0zZq3QwHtQpgds+BO0uizne4jh7kmHPpfC0blkkHq3ttIbLCid6Ze5GI
ArhO491SM5ZuAKJbV93ZxIjF0wTTRYMdA4TcFA5NEHwx0VBtpTLttnT+wOJrf0rRvIEY6Z/DiCT4
uG26u7DulJ0cNeneGxJxCXyVTAypmJ6SIPmD6DD9w4cD4uAPkhDQsYj+vZEns9WG1r+UeV3f8nmi
yTQPgxxc4ryDps5WpBrJht4UFyXBFw8yWV73dt5elv2X3Qh4WhMaORKABpwmnjPZkcyTJdvFNx9Y
B7lqdXIFOkRAhE4wmtbKw4YctOqi+228LbHWnOMUU4U2iOlkWiiLcccbRzPtw30Oyvhoi1DfU/bI
D/Y49Ye0HIa9JIfFMdVygn28LjzFtQfiqTetU1yMZL1WFEnCNvY2UdPIJDDI1cay8wGjK9BlAFDd
lfGJYp1EZnvzoD3BDUY7yBMHNVDZdfdTS9QP4c7DQ6iDR26F07UBRSk/lx9rxqBXwSBrT4NlwfKG
e/pM9kznlOE4nD1yqEBQZ4lbjkEICQt+HO8mDB9eMv2Oa2vtkUf2wuh1DdcmnL32U3iPlvRPaMjT
bynWflP4xV6u+xTKfUvdpA0vZ68X224+ghWR34EOrCDiYaBDZYxAOpGY/M7RJaqteLfRGtAFTPsj
bNThWhGkPtP4J6Br1dnWxxYUMncAPaNil9YKIBngfcMlgtZCo3zYZUIKHzzJNi+mgpt2CYIPRIfl
Tvf6XZf044sw6Dspiv9g5dwpypjlYAPk4SVEALj2i77bLZ9So3hfab1yyEyld6kl5gccQRFd1VkZ
rNsEcniN871KjAARl12WuX+sNOYty8p/b/nZfUgXPiFf8HOcZV1ZWvjQGMBbpSQGXvSiIcqxkdqn
lgDLw+DJKfgKTkkKb5u6ZY/TY16EaGevxyYn53JeVMWIaUno+X5Z9JJKcXAnRg4hD5jkDJNOwTxR
s4C8p0KMxXGw45IEC+aWyc8+y9yyjqRx9q5VJEp9hhrr/+NzE8CoAoP6fx17WfzHV5vkCOxpCTn/
WPfzkeX7h7CYDmnyUo9B8MAz13PyyNT3qoe3osu0e9k2va3WB9Jqyvg3m3YeXY0y3y1Ly4eEZt83
bWqfdV3agS6aLnZbYylssua5G8zS0XrTf2986QFDkf0pFGWTWTwO4ICvfCVTQ3YAytum0R+KGXfQ
QaLfZVhFvHbq5mWOu1/FelucqXMfZSDuZ4wC5TlTymADznRyYiGX558Ny1YaWH/tJ4jkyRtzJbdP
SGRIbp6PsHxk2fFnsTMG0zH7ijHL/3zJvw4tDTF+IdV7StCoAsycv+TnAMti0ss7Br+ig2v1knlq
B58AIqJDSXyRugALiWpeBSTHa2LMT18lR2EgAut7HU5fIpUSa2dSKjibMsElkQzq/3txXkdSd38O
58myDgmmsiYXjVGQeevPhmW/ZV1ZyelG9KQCLIuNoWXrECyM20Yj5f2y+h1iXLBzuXpV/BH7W1eM
T2ZBp70aa+8+m7LORSrW3dQ2goZpDumdpQFViYC4nUe963c5qloIjiGafWKr9npiwwSZn+K9KYeX
LJHLTUpf9yrD2qViQPU60SuJwnqePvLrghU1b+s5NiCg6JMQb2SKvnh1YnwUuneQKWT6kHDwNcVV
TFP6MS8aA3wfRQYGNNo/w2ifvCzLP7Q6epcEVWqelgjoUQ3pekcalgC1oIP0TKe0f/SqvoZpTgdi
2TqYQXEMUqyAy9aMCM+T1021s2yNkiAl8xKm3LJ1bIzkUkniLZ6PxIhHdpdU5f2yLRIWNSdAS7TJ
w7uikaVLRJIQ874+hXfL3DKRU/91UuVy/7NqmSMNNXAjcny+P/WzVTZTcxsxEOUs68w6ADdp1fhO
gYOufvb7+R65T8+1yI2DN6nsO0WkUuFEuh9iu2CIyGPwREmUo221ylHGR4VnPVS2yQQqZtmwTAYL
atBKmvepJGksNz+fUTzpo5gKyHb/Ocw/dtHNCA/ZcvCfo3XEdKw6cyzc7+Mum70k4iv+sedkSNKK
OCzhaoaNEWw+vNRXWARxsP7jg8uG769cfmCQyt7GFuLpe522/IKfLx/tmEvQM1t5XweN+z//pp+9
/zqu8pn6cBu+f8N8Fpa5f/zY+cd9/6Zly/eXtkV6FwF2xSq+1RtLPubzbssOnqgo8yyzy5ZlMi6n
f5kVVgu6of9tMyJ0ltp+Q2uDOLWhPtdxWK4qAiz8EKuZX2fvel6PMPTQNHby3gi8aWva7Rey3NFN
ACvK4UenxkRHCoM8Chs+mN23+yBpPqvUsze0mY4WCNOwVENXMcYZZWt/GBIR2VHrSBUPckCzAhy+
ZVNjrEm3sqr4iX7mDhPeo6g72+m47eB6jA+VVyIubh8Vf+Bg2PwgYseXTq5PZoT/skT1REFnnVDd
yoX6HuT9SWLUc8yJRBxBMBTzgF8uMegQ4/fd4SOmm2rHx1BSblUTS1c5ostbkGd0Lb2joC1CvNy8
qh86bFJJfP5epxDi4kx5n+5/PuVTyXPTCuQSuanSddmAB+29mXBclU2HlXO6r8v7OhH9tach1JgV
LPSMLnk/IRkBXhbxQ/xHqSBkhYQcYg/K1oTs0AzOgNVU2OgN9eTSKQMJYPNkTLxb1ePjT/Oj6fc6
qn8mOdXiFR6zYaPmsMaWdRkEhu1EyhoF07/XtRMNCZCm6rYkRS+3dO8unSfgKOzCLK+NAa4paeDi
DLRhrtM8CROt2FmjOTrLIk8Q7RpBo8AwVH+v+llfG+I51BvtsKyypFKFSzZMxIXW+XpZt0w01VMZ
JoLZuOzyjw0Q87Sx/v7iZbWu5ozvjnm2X754WecFvWPYjeY2Y8WI9fwjl41hLGdH3QBAOK/SKatf
TFNyez+IbnmxzjEEXxtFCW+Mmf8ZwtLb94p2BkSenAbCqq7LxJpg/YO10jc/65Kxywhxg8wfy1Ik
YWn0NDKv20Osx/qVYr/+/dk2NNZT7pF+FDQ1KVoWnTYvIWNo0gtr+71MQlK5qfJErND5sj0odPU4
N56j2rqbbFoH3VQyVlS24mrbsXSnh0d/XtDC6K/JoFevLVXLwyiSuVuI34f0P4QZP/sNMZSjZOLR
uxzIlHOD7IrwSuBdeyny0f2+oqYi9NEaNw5U5Pour1L/JiiS3dQovy88fzguuy0TmmSqQyxQsVsW
l30VKOuuXqIcXz61rMNRkWBJiM/04YaVLfv2Nck0+wqXezpoWvvmexWUkHm9aqYdSVKR40UWzv9l
NwiYe0bug/OyBy2/qxwq2jGcuP7yMWx2km8bV8yi5pUEsXKtBBZZBsNkXpcNSgPcUy4YnFkWlw0A
U8SlTGgwkrwhQY4NGoaSNW3VhTx/404//ewbUDslzKw2t4laRhtrRDEBzjK4FbghXOJZ4rVmQkZb
mU3pbTRbgxwOv+UG6jm8iabGG6rF1A8G6qGWlhAqNGeZLBPaLhNpWaR5qtNAa6PwicOTCAvxZlKf
B3j4r7l5Eb7ec9aQ5Ue2ho3+bo5W8QiHPixzxDWnjF8fmtkl1M4SxmVumfSLUHKe0KlFOLmsBF3b
bm2VEe8hAviSjw/Bt/Bq1nnLNLurF1mdKLM09GJn48PPhDYyVodlOV1cD51In8VsPGpnJ001/wSy
iXAeGYv/SC8Bu0GDpCgAd/ewTNSyGSYCjqqZv/GfWTWxP8JYhYFRZ2Afl81dN+EQXWYjsDMg/+OI
YQ7A+QzaQdn7PmPWSARJDGcksgyGEJez+L0Z2MtxrspsYZ8Qd4DDDPuCWEujJmGxa7/GVnx60CKS
vNwOxH+5unLvk+t4yNvuxeS0HkPiwDaNIt6CUdjrYVbVxhwmt488cdL18vf+nO1lbvkPMIYVrIXP
uZJISTvKrepWsS92DUFtB0PLi71BJyEuo8qR5HbbC+Mx4a/W9QGHPqYOmf8wl4BS0Sa3ANJPku5G
FSbm2ZSWzYprc/5nLXMp0IZ1CRaE926nHGrIFn5pMNClFZD44mQ4/ePEYFHmvBl2DULRVFaSlHrU
+ym4lYH+IdJAWmv6Ke+r4VAHRv890UQ4HDx1PnPp+JYqannA8lse7KwEOr7MZpbdKetldoleXeaW
SWx6JWonGxrGrJ3P5ziWQisx6NDo+J8XVmGb2T5MAQHMHtH5z1wmyx/8s9imGmQZhdxMb/YwTbNG
cTkd+eI5XWabiYJXlpqj+/OfWa7Tn8VlzlZ64q0w8PLwzuEEMtFm2d/PRG9FsG2Ffoxn7f1yHSyT
cF7sGeLYTGF9WlYVnk64g2/RGlliDbol0cCQOv6/XZ7/SpS6In1Uy/CAza6x71mzVft9DOQLkzzn
dOZDlIIYg2WyLEYhFGIllP5UNCn7I8GQjTPVZkcqihQNR9PKXY2YriYfRsdPidYNyKd2ZaukF6PK
3pbaz6edDA9KMYN1aY+QG5sTOIeVfmTofK2mHb7R+JzmZeDAKGOgdCqCk4EW5ux77Yrx9trpx/SS
KrwiMrvUXRvK6lEumxWPjIIhdCqLRdnuwQ3MXdtJvuG+V3dTT4KQYZFJaz43VZNtBIMwqNjbjiyW
2t+EDUGUInOkLmV8BJmgywuXh0Z0J1TFWI3KKK09qSEWplM3sP/B002Pmkj2WVFQvyOSKKzFa9mX
ZBaOyQb8UrjWMfrlTXsK/Ep2eDniTA7y3K0xZATtCfArepKIIV1JZujVjyiq4KVaAWULN305Z0Q3
GipcShQMTq+mQu3JN7ZqtwBRUVvUGrvhT21yYqzOJiqFz0+dffLHOFqFBGx5WSTDNSWiNFQoV3cy
4Fstgo5PaGbZ/Yk8HNkySqrVMOnW1oN1IxXNrlEDTgIculAYnGkR4BWve4Eupn+yrbl0SRAk7bH6
0+TVPT9bFAV2jGnss3irSSNGYAm9f9tLW1oU04rxxzcaz8HaGvHvF5IRwyZCpmNNtD0F3hwLPBry
Tf5wP7PHXWzdBhBIO0Y85RNiWtIzLBIY5Ix/dIFLF8986wMMtnxLJmurFTCncD0F0p/GI1umGs7z
FaRGRnNOgulLZ+Mqq3lRlnSyJdO75Gr7UabQkVRu0ZXSd4Q1jT3jjYFJYo4cCZeC6CmPaxJwDXxi
OLjdhHKCJjCFT7GcrIxmRorAWnYGtXn2eF+4UF4dcpnJB00ZwrH4LqO0Q5gQU7dClTNC9NLPbSlt
Ur/2biPE9am0fhcJqXq+7L+PnbRpLDqCvdK5cwOwM7TgiFZuo9vBpwSH1ckHsomVYXqxSwoWFCAV
6cskIhGukRbuNYVKnh3JN4gL1kobE9cLuodRsTYE4SIfCZBiSUJmtJUekhR/xKXSbqZyaN0xSIqN
ZD0FUpY5epR66yrJqM902UY3pPw0BRywb6gMhopy5w9RA5py3LfyOz3/YGWPZrduq/s6Jqq1Iq+L
ev7asItXpenAswBIsjRCj5vuCUWuBuwoClakeKYOrUFlNcFfdWwCU51mHFInMoOdLiTZ6UB2GZF4
AiRWCkSSYL4S2kel7GYR6SsWxFBZaXeK5utsG599u3v3/LIC6pR/RtPLpMbA15LgA3Fu6tbqIxGK
jx16SUZdoKX2Rxtk6jy20Qyt5VJrG8bWpGSGCNjw1D+Ub0CYGK9Rr1/ygUH7xD4Jld1SpT9rMq1/
nunRuiN1uCnqkze1BMhm45Z4XoN02SzYjb9JzqZe/RBn7ZvSEigvN+NVRLT822nG9eYUAolGZ6BP
8ITOgEy2aIYBG/pcE6sqbwGCRe8dJ8mpCkKBJU3aFwONrEAo5arZcu5lNzEp+BMpcNSKTZXq3o1s
w2bN0E60Gkrz0RhSV8taHgQSGNokeSHjPnEVmwHvumpCp67TZ/SimBwb+tBDHJKXhHrTqAgSnnNi
UUYP61pKnoD530CnWU793BkQ6Mowxnff761Q/cyl+DMN1Y+61AgLrCDzy/ShqHBvs74dN1bKYEGo
oGW3EnREwei/KFRBhxTYXz/m93JUXsq5UJWN80Dsl1abRC/0/OAAqWzdCQfuXbUeJGO2Oxd3XRA5
YW5QLZmFuqU/7HOFl0KKRsgA3gfrhaem4a8iZV+l4Z2JEMMpkvySxvmfVDP3ZWm81yEdr0FcAytJ
XSEnO4Qq1IO8hryW3sNXb/WHhjQzH1S1W6JAX7daBJGn72LXkEijV6VmdCQ9G1xPkz4syEaB1yFE
D7W1IFRKbUxjOw7VAzFvDEOnYksVYKtPVDKD7DEb5I0g1XtjBQb6YTQroc5lJuUvtpxHh27lB9bM
EPvVaQG08eRpnJrEhT/zEFTTRz4Yz2o+3jpjpaZGuTH84TyB5owNyHM1+ZOKYZxzMNZWXsMZzFVG
1ES9jz0Pmbax7UPJtUKy7l/HsHiz/eTBKNrTYKBplPunoEl2NRqceOCaiJp6A5INNE13CgAHImgD
jFYluhsX9MClytUq7k+o8nqyK+u8p4g7woyDDw00gOwKX38bm+GNbOrUMRPpsbYA2TSh+lqn8UcP
Tk8rh1f8ZV/IdtHFatupC/etSB9GbOSrRM5/FS3w8hAOUxejqOZ83AtCxLY5wwBo/jRqR/W0ZQAS
mFq999v2RqYRGYIW9fG+Mb9qUYOm4A1LxjZR75kA+QtA2ZFET+SlnIFtSk5qk91i0DyOMvX6Wtj2
djDs/WtaA+iDNrTPB72Btx8jlh+RRwTkaJLGfiQUI7/gG0bCZ4JNV7kjC4/KDlXhRv+Q0+YUy/1L
y4+i6/ccIsKA9Jk82ZV05Ml3j7iscNrW5NT7F4Vk+lxXt03U74bc29S7us82NaeFhwQ9f8YOB4ex
vZD2fw8K2CwuIVWqXUOemlwTLDbYpziH9dlqMeMp2aYPuXt7y/tKEiKUY/Rp2VA9G21zUu3m2lrJ
ijyHW9H4b3pKvxELGdENffJq4qmHT5p3K4ZmSHkQRH9OXBuMCICNz2g2VEpPi2ZYW5qMwLjdCvoZ
e5vecp5eiB6taAeEMrUqbpf22WgoKk+JNThweO6SaKid0oQIKAsER1rqP+RG8lU0Q+WkTdK7pd2S
GInpsArkfSfbv0yNRuQYQM7O/O6o1bSyi9Z7axvuu6lVNwYwb7PuzhrVO8gpsQvizpASRkNLD5Qo
2imQu88wCBE6+ZTQNGqHVadxkk1OI5EnEw90JXVb1bQx/FuW00V96qb3dQojqosleaNqMBvqKvxF
AHzjwbbnBUdL8mZ/ykPbnhRAZPTG9J3lNQ+SGMFu2u2baCCNj1KI7qV9q2p743cgReuQjGI7tt2E
EkHFAEeCMN7NZImbh0ZYKaJV6VMRaGU5pWId79Kps/aETD6bIfAe3uBtV3wqDW3jsef2zOHrROFJ
SDkJcz0MxYjLpQx/KTx+XNxJqJrI75nC8uSH+R9CRgNHKC3DStqjV1sElWS/Fch11lThklBIBPNC
i3zO7Nz65dGgseg32aWzGTQkXwTU1RkD0RNt7SeLQYuV7s9ZEerwMer0AGKrGy6WzavGGN3YaueE
Qd7mBgFSUQ1HtXyO1ZK7o18Z1STf6V060BhPYkdYtMGMBN2GH/7pqGc3Rz2fCVn6AO9t6B/1vF8r
qj7QsCI0IzRhOxjtVeqHYh9K8VXzaZCTSZuperbVqEyV5dTToA26LSZtrTZSl4LQoxH4v+FbwU6N
0ewFSskdwEUj/aHo9x7m8d4ztIFk4IbRyktagDEDcS+cBLXtbtL9yq0hYtp9tIom/Vy1NtrU9kuX
DkQtn0KCWTOK0AAf0d7FxRor4zXqhNjIWfkKZOHQZhPE53xGNL+VguDqwVYw6+fBYyFMWkJooCyK
BE4p+7Q78xDMJBL0zNoiWtKJhjT7VWRg7jFGXCH6e9SCgOz6kcx2Q90IbXxQZeNURtyBAWc4FoRK
MCr5pZte5yYNxOF0HSjGNjSGt2k4oJx5TFCkOuSClOtU4TwRJX7BiYFsZKK/buBVasa5BK8/S5D5
Zm3bCnrIi1ofJWVjEHjk2Lp0L3Kx6QDczg+p3IGDihVqREC9nelypH/EPNgk7Qg68LULtN+qIY0b
T+2AJWMhhWhI9zRJwNvRItRtrv5cwjtAw4TYxAD/Cm38JgxgJMXaH81oMscYKPfrUJN4blJC1MEL
qvIttGQVqpzpxqScOpLNVWLq6jsFly8ylItjFzNqrTJwPxJVFKvKL4B9qYtUBgOlprhynOvzB9Yh
NWJXVRnYt+Kt0OHSKsOwM5XOoh0QFStQczX0lOYlUkpw1M1RCrna8ko4dVI8RkmGHck4AMZ0p5z2
c9/YpPpSpHCMJNj2JI5D7ZwuBhL2QnyOiv1RpFPkImQruEzbm5n1r2bdf0AS3U3juDJU5S0fQh1a
cg+iF/OFN1Q6fJI+WzEOIhfivovNW1tb2DKi9NxZLQMopcxAtv0a6Q2J9qn24DW/WiGD6oYhSoIY
iTuy6blDkJ0TXZyEYnDr+g15ToxjVLJ5V9Dr6PKsd4NQvhI48qh2pGLabbbxg/FX4OkdWkDzxoAK
AS6RB7N5erHsX5YhIRJRZxZf2gyrpoloYNPABF/nu5GauyMUW2LOna5qGW8ItlKRnbPkEWyezWCn
t+OaXFVFoK2HSKEn1insqobZWlINbWUdah9gJ0U/tAtkg9stmpPMXPel/CIlCUMtrbr1Bph7g0cY
XgIGrTTbld81H0GJ9F7X9rQv6iyhgdGbjk6rkt5XfyfHe1rSOtThhJSq0F4peWfwNeQhJLa08tDm
ZqWmrCwr+hzN4CVgnHIc23QldbABI1sd9+b4nIswWXvqNhEMSGf4UPGg+muDHJhctC9x5s8Vanr+
XsR/zTaqFS8ExkoqhUoreXXSNsJEOhrx4zDw9tZJ9d4UPU2OzmgYJqwZHg4IibZNG4byZ+GRkREH
xaXxg41GkMjGHodjEau/EwnDbhBBfp95Q2XzgSLpkQHxfCOhUXFK7vi1LZn0DW1upb6vL9m4saEA
jyPldvRcpevFPnS2HFtgiRMhYVQrqvH+JR61kDD8zL3kJJsSUPOoIFnI0xl6CutdAGDDQbRkOlWu
fvYa2KnkUTHMbOvnypupSDtzGqif2Kh5tOIzz0Gdwuv+hDfzTou635RqcJlADkP2jeMVabBQCKa7
KiDC9TrwNuVWxHCYvSOJQfrd/SHf8uLZRCyHPKMUgs7TznyyleE4VsBI4MyRJa9Vd10l3jP+WSBR
bmFsq1tpjlwOivGU6DLU9zBrN2FIP02m7V8U/RP3KDIQRPXz49BYV/645XOMgrc+4NtgT6zQY6yo
kksC1vYJI6nn9KWHeujTHp5LS3umtv1gpi2tTYSp+oTijOhqrBPHJLbppvKI8jQavNybiGyp9ZYV
8ppX2VDfSgUtVYpmgoLtr5yT52S9dpOSmJKh0F46xi0Vv+9c0n9mnortnwJdPPiTsVMSGujCJ5SP
pxMtAEh79GEtFXZr2WoIjSEJU7C62oF/K7548HqM/PQ4K4eguyWCnppR4aeJemJRhPwSVAQ1jGpO
HlT/AIA02aDhukZmd2JYAaOflFxE4jcuncBTP5NbR+1eefcz691s66da5sKM9SeyL+5VI3OFT04h
EcBQwAmSHQ91xd2CrQuF+K7W5Je20X9LZkddGaVbrZFdF8kUYyLe/+YUajgmun3ZXuISDjgPAGRw
M7xZefXmzqsl+acJUiFI7VOsGhOFu/qjKIdNaUpPCZHEjhlo/arPaXjLOmoGj6uFVkyb5TZWcSE7
ukgOudf8zgQWiqCdgFIif6raezMRRy016pUqtbSpMuT3MoDqIZIkV8z5vK2trLGCE0Uf5R9BGuwA
VxyqMNjIsf4ZWBV1qopRQJJUiVIMt+pYXGKDQNGqTPZFR2RqKxdrVOHvsVIjF1VJ6NbDdRQz8Bw1
6N/+j67zWm6UWdv2EVFFDrvKsiTLaayZ2aE8Yw+5oUkNHP1/gWe9Xuv96t+hBDQoQdP93CkUGAc7
Wz7CqYuvXiIgCauz0Az8nVwjXiF6DJX1FLZIKMLwzyS0F5MoocEt4xct+4lnonAmc61FOmwsZd6P
eI9trNb47XXt0QyS51KBrKMAfG/D+ceO85+j0d8yga6atAXcr0q+c6Lux0xdyhR6Xhi9MYR4I1g1
Xnllv3Oq8WdXzbo8nQe5VgQwAqcS73ETth1j87lSOexB8eKNNVKa1ROTAHiTakL8M3BIpMgacS5y
4pRK56nwlQ2Crv2YInXWJRbSgbiYdOG25+/bsvTXhcLkTrTbRCXfk7y213+kU/12rPxXWFVwLc3y
scCtsfUKOhe3Jm3JabHHO01CbUPy42E5odU2qhM6o2dT6yGno/xFZXEYFbaEMdmgaapT1OtEz9UI
53yyrY0OpooHV4QWRKi1vm6nISUpMcl2U+SdUFC+ubb8mU/TtcfnC1jNvXCH3NwMtzat2wSihIPp
R3uzTtee6iAca6RFpdM94qU7XGunvXSsrYO9Ac8fgzzKfO2b3F39pPcHMh1w0YcGPvgdJut8qcoK
ngaP4o1HPWVlMaLjKhYXK3/t7GxDgOpDHbff4x4IfL4Ep5GIKYgl+i5yuVDQT9xPebinIv499Np7
KrfXEKN8Zgno0HJpbEkhOuV28dzG5o9icG0mejHDWvRUfoDLk93yYBTJ80IViHSKMhSPqwOzsWdC
tb9Xbfqb2e8LKtD2iG0+mcpTuEH38t2pznUV/mB4AB8jZogSUqg/awA5tUHYSjc62dYvzAMsI8p6
6WgxZJAR+ZDaufQq7Z655m0oqO1OnbcjL1tsSsdVzOmHYFdMWNFMdp4dRH0RpQZAwAm2fqb9Zt67
GtFC2EnoH4ZJQzdZYFlJSFY0+NFdnygmjTgngO1r6yp1iC0enf3YFMadloNgSZQIIBEeEzU/1pFn
GPtxDOQReVyyqkcymAbDKp60scE03sua/bL6uQ0b+pT7ssnDjYeEAyP+yuRZ1RI27hUlWQZz+tPw
3bcTzLgJsHC9YVzLYDyWHpJ0RE4/XerIhg3/1LM67cD32U0GA9XODqn0YWLP1OZ1yutm3zNCrxXP
sL6mAJm0z+QLv3VtPiu7ePpMmjraRh/svfCPR2bnesyNN3hkPGsa6G6pbkfkHOc/tA5D1dJiaO8q
4yMUPjcNI+wiDH9Zqd2tKRH5G2wD7MDCxFkXfCeXbsmXd4mah2yxdoo9OHyh9zsOzN99A317pBMO
u/CIEzMG6VSs2sC8BRmm386uGrWLnN8umREYy4U+pXC+D/xX/POwPRQkS0xi3Y/pedLdp6K6Vqnd
r9JcPYsI9Dn3/WNd2ZQ0vWtmoib3/Pd6cDDxj+TD6OSP6QwdBFpB2XCoT7YeqXVTW9wRASnwqMru
yMcQGxnJAQy/3TC4VtzW1lH0NoE6DrO3gxXFNmYTMDt0F0cCw6vwRM0sD4fGqN6mTnWt0/77UMxB
i0Pa70Or+KOSqbm0OG1ElLd1h5myFQU8YEcLfMCytkGsf09G7xJEf8zGApOtyUPzmXBWiS/oHtPn
Qr2GVoK7kM8cLY6saIXEejW0eDkM5bD2g5S5s+eoFZjqPk1045YF9NZ4xzK7pcQyFORDGcnJ7qi+
uL19zxz7xdWLW1P4+Var7QSiRfQdjxEk7L65R82kryF60A3OpEOP2CEqhxSpuvVc9tz2JmJ1k//Y
nNHWSSMY0smyPUGmHGWeLLCwne67bxNK/kJRqgx7wBUsVJC4g7irdmAOp5G75IvcX2eua6Bo6l+M
HENA3cLypS8raFUUrJzqPUsl3i9CHfKROrORO8HRtI9t0XarMQKYaiaKT56XvXUU+XjalNpKQHpo
8jI+Rmk/D6DNHw4SlxXVygi7k6F+0IsCYMV0fpUz9BT+lFRY1kamMXZtzw01S2iy9V2ENLBjMPIY
ulyVoqTY2enoTvr7Hn3dGo5KtQ2Eg0v6COzhzok1naTil0ydAi/jgsEZIdvXMS4VDO9WQ511j5LM
9E1DvNFsyH+iLn+JHLnOO+o2A44ahqKsyViqOqa9xPGDJ0Is7XAtu0S/tErfFYwpV6OHcjqZSCy3
9WtQ2dbe1ju5wyHyOMnUW7mZ2MYmgS1TxMMhiuzmpKi3Zz4E9zQbXl0ByVRvv4Ga8f+LCeoPFdkw
adK7vKSszrwVn9rUJXql3+HFgIuEFMm59cBPZU3RvrIGDVEsfpB5UGyn1uJhrJrvWPRshTOPP0uk
cVN/dDJ60jwpX4U7WQfPLGEz2+V4ZzczJlRDpyF+Aw6fl9WMa3PyxNFubO2Yy0JTNgLshkIgNxrT
LNd5LfK6WHuGCNdYrgi4nKheq3RNZJvAAGq+Ja/5wFtkI7ewldfO2rbtOU9Bnh07vbUuv21otO4h
TTIITNz2yHxea5dvLB3eEj0RlZjIpVsDknH9/uYEDsTirDhj9TmcovJRp4TCFSVWIf/KNs4a7L6b
muke721U446gkR7UmVGWB9azdf2qXKdRf7CZuBMvXBCx2tliD1hs4RGzC/pLGRPeglb2TXft9qkw
w22fjjdLobrsvf5bE6L1hAZU7wVBNHTR7XVIJhppf2xSgijrRL8qy+02nt/dRWCoFA4DE2OUaKRs
7lbv+DfzE43pQ693GuHTPgqY3id2QyBMkBV8WpMKnUnYSEfCpuBKdkLs1riRUP1XF3ts6W4GYR4x
KiknhhUO15xdGe9D5Lzp5p9+mN6xniHcAqNwRz5MjavjjBNShw7fMN/iaNt0d3qOggLIEPeaBpEJ
dQ9N9fcKjNklxSeN+20Taz+C2va3nVETuJZk5QXkz9vmk086ng2mA+y11g1GOsxzEPcyYmVeu8fY
x17jiZFteGwfUysc79xQB9tg6mMLKDleVA47DS94eMjPrZbru9p/wOOCgaE+vvaDcZganarwUH9r
exARV7VrMxLNelCBwUAxn/j00SVu2h+5C0Rm/TH75MFnts8kmKdi3w9QjZgOdAMAdBxojNkPNbrx
a0QeiVYSZk2400Y12ntd9j+siFyvPLxkHdxKu3tXPgX9KqUED7vypaUoQN5bgO+vcCl+WN/6kOlh
invDFoHOmzar12JvPA0e0QVFmj5qdoV7vjNyyU1VuSqhomyMnjmfN3viN5X40C31q+11RiyuOhj0
PfvZdFuV+S+4G6RX4n4K3svM2PTqJ75RylUVp5RfnHwfY4EL2XCTaemh0Al0rkPrQTZBelc2XNuW
3ET8yKuxCqAHAoIbMnC2cavUfeVvLdizG3+wSdvo3saxvPKETRkFWyu7Qj5XlwIeSLUb01mw2zLv
ILQNgvxUvaeIrJgqpM+mHoTrWFJ6jUsn4RWFkzwqu6twUeZqv6m1q59adAB91bF2su/7BphtGsRv
z5u9WWymRnUDsa7nXzH0aR8FU3NN5oVD9a2ASXu3bHJzSZQRlYcqc/m2zRxBEw6HAvojnFyTvpRg
dV8LcPGv+3FTSfrhsDJe0i5JuQ70W4O9xMYwTW8dWQffdZ2NPQW3KIltVG7UtMumUNs6ZCJTKHQQ
6aoeSnmUQ/PSe9W0N1Mr2fZ1fj9AGQM7Bp2z6lzuuXkINva7DB/hAawWJI4hHH0sKn1sKqgOb626
6e77yn/KBT+omPJVURn1fRu0FRneO5+Hvl/hydICb+A6dq3DkSI/ZcY2Hn6pzsBF3AOWTzvj1XJh
FlbNz0ri5IKii6FQsQ1q71qAiG2qyW7WDFq3IdLBHogVz5w5aEN9pPW4Cd2+Jb7wLqu7YYfxN8zF
8D6YokvkMldhWrbLzCpeKy2jHmOoO4P8AQY5wwddLuZRnv9gWPWj7DLKMG70mo/gnzbPpQgH6Vob
/wzkB6ehZdwnjtVvWlFEOy0nGUEa/h/PgaNZtK9D24crGxvktTfqa68Z6Z+t6d0e/ENtEZOd/vFc
LtCpyH/LAW2t7rWM/TRCjMQYnZRVfaszyBQtF5fZvKDjOAU1DJ8ojLdhUuPi0ZkrL7B/z4oTBuK4
kzSBaa1D0zubMK9z8JdtH7nHAMrPHULFb8YcMx5VGmh7yQ/g2e9NjtgSHVFJ8XU3hD6mNmn+Erjg
1KZHRhFeIHduOV57C/TAscMf8QMMFHqVdaimbWdC3e/ry9hl+R5axnHswytxIUhfqEVkxgBVx+Oc
0TjeCuF81NNwse3uyigV2+L4lIW04OrUIAQ1u8zuuLrn0Rk4ytVNY5vhbFNQObEO0mmPxkAOejE8
a+NkXDq4QCY84F2ZHIqaIW4bWB9mZnUr4TY3rWwn6lwZDwN+NxNlpoT0VPvxqQVLo+b2ZtptezYI
i01jf9xpbRtsmqlcB3bM1ZI85jgzrCP6+rLeY6t0hDPJozzTTfT91c/cJU4sHCwSp7WPyOneMjv7
1dbxxNVv7pXkf7ETwgvJW9+5U/MzsihCpuksp09B0CwynszSj9Y2FmVUGEBsHX7mvu53EJ/oYe/S
Nv3G///k/aqrOthE1Aso01L0bwJ9pSmmVU70MTTDU2N6H1Xe3vyxeQaFCNdmquGT7xGcFeAoJUOm
A7Yxs3fAUTVSg10bSjaRB/6qKybJlF8HdfZC64RR2i8jVP5aCnhiM5olWuT5zNTyDbE7x35wMX+4
G61x73EHiajcF3Tcoat9t7rkD+ZmgsqzHPalDq0N+XtcfwivuZEzRTValFdp74yQJyd9Ou7KwaGw
e9yPxS8z8+GmD9vOT6DU6XZFLgO602qOn9FGCHah8e6ZHwCa/jaegssAJW0jDKwRoF4nUofTG8R3
gzMZqzSJL1WpkVppFWcXtVomZLFvR0ffQptzGF2odSfcvaGGCLexShLBIp9MTozDGrd/Zt/VTEoj
FJ2kO8YIrwPZ0sPvxyr9iEs5m061R0tofG9SOW2XKg7DWyZhcwbaqF6NKQ5OVDbWQ0P2uO8kxnbw
xEtc1Q9WRxAENtV8jGSjCriuPtVy9N7Oxc2YCkng8nUy6gRXWdkZT71H6N+Y/g0ViNUAiDEQ7gRz
ai9brdqq6tpOunESRb9TQos2MmNQVjWHUhiMW6kJJyLh3xvE1o+nS1LQAYWxFFu9au8in+D2SCd2
AcaREWjNNsg15Mr993yot3XfMARoowfNYNCvRPkeAejJlDDKINKSjTaab24rr7beHoogH7etwXg3
bzOXepCFWCjHkSVUD21k/arsU2TRa5IT6AGH/QngOJS2g8y9Dz7ISHmj+GVL/xUEZT8QA4em5WQx
KY0jhhFDZF4RrFxjpV8T1cH2MI5VlBc7g/KAW7gPgxnMVB6Go5UkSHGE61rV5q0ZkhcYlgxH8aFy
2h6hhnDvxWQ9h1b6ZNOn7Hyv22f1tA8q4y7kSY5YdN2VAGREU27TlGokiZ1pUq9MOVgbaJSs+RGD
nQpeTFNQNUfLnZTxfuyNnde2jEooNgZkFqwqLT/bQ/0epv171oBVpNPKkE+57DpuGiR/YfndjN33
ZHA+ur7Er9/cWHpe7TG/By8bMVaQzNrd+BclWQD7StQUz7SrVU4vseO9pt5w0E3rKGOGqlprnrHf
Qe5hw9HpeCA6jd+tzn8MW9tKveKBgTVEH9g7R/KE1dWvWmAbmP2yLZsctuxIUffR9ajE5W15m8Jg
U4+TvY9b41tADquUwY+4mxnxSXzWFEQKiHakQBTD2SnIPS1NCtyF/03Hxa0LyyuGRz3Mq/5Z9tRi
2ggxbOm5F4RjBNqF1VOBkGEVTONZdMEmmRxSlGgCYnK28EkBZvV3jl8/WU7xVjdklWm6h9c+hDS9
fwlsystWgKzA8Z9VazBgczZ0uSDQeCRAw7W/ZQR0IjfBXsyx6jehdxsNlqokNXRIzKtreGSG4huY
UnPvqvAwP/LABW6TyJyVHQu06Uh9Quk8Squ5d+rBX4M1Mu0mtG6lSesh79xmK+D0KB/m49CezA40
OAJOqbXfODkQ9UhtdaVqHCThpZoef60CL89zg3mpd6QET9+YGBXPtWnfGd1roVMCwxVpVqTvNYTd
TeAyKGGgqFCrzDAgflIJthN6NFIcYPQbNj+lb+y62j53nocfSkUyZEafjaGFV1LQ7NqLquz2YpRJ
d6EAMQHrKe0AfUStGq0ajkVjV0+prWVPTKvn18uGskH/iE8Rj003xAsyjCNjXTt6s/+7m4ba0G+J
NZTXZRN0AHAIx/7xdZJURSn9uD9snampnqjDyCfoYs+VjnnHsski3vVeBvrhs8HcKifAdMenjTdf
J6KQjkpfmdpxaQfZengcJPH181mXBdqSQ4ygEtiaT7Zsa9ymXcOwc7Bx+c+2PPHXBqY+16UF3l0j
bJeUgraTqas99H8XzO0efVuou39ttxkbYKWjALT+096QLi4W9hmc1Lz/2pwTrXYfwTBaTrpsz8uR
6KnYeWAusqtMGT6kZHq+yBDiVFmp9m5ZdYMymzPgpm0ypN1LUEf5yZTUEkWkOp4crf9IBsI6R37T
roU3XJRO57scOtZBs44g6x2X1TQP0j3CBnvzeeIoVGeyCimazW9b57jOZcZn0+Wt/KC6gbrYl+Wd
VEJk4xT6EQUJmqtOFgem09p6WU1Qnl5UYH4rpMbn0PWrJY3meTmPwZGUMmp5Xk7kCEh9UgThbtnb
ps56hNOLqiYvH5eFk8t6l9XcWlhlxfG6c0u8LlTRrJfdMJrLR94wOdRkMNOLz22KZIphXQFqfZ0n
a8aB+YDYU6Qwd21rJVdK7PGuVEP+AAQ/Mweq6hGLOm9TRkn/lGGpuWlwVXgea+muQ9Q3L4y96nWk
3Py1pfrGfeeoWzzhZ+fljvddDI5Y5VpX/rTr6oNQWeSStbj5fVr8HiqBbDC13sUEkT33yz/twIii
AFMB4SjXvV7RcUz6QzgwolnVZ6pVUHILXGhsN4V+QDQxw52e1lO5j8FCPgAiTlY7yfe89h49GP6/
EpX+8EVcv+nMCRi9NcEPE+x2laX5uEuqiGiUwJCPhMnjq5l7dEFz4PKyLcoqJJWTxuCnl/Jx2WFE
hkcnEVbbZXXZUScUh9Io1xjucKrPdlU0bF0oZptltZ1PUHqmv+0HH0e9f96DrOcS+jQ4mqNkGa+n
2tN3mmXgQjy3Wc4fgAnuB+n0nx912SGasNuLBkxrabKcf9B0eP59DN5fSvhsKNIPU58RFwkEeiUt
qDh00kmJBK3iC7eZtm21IX3GxCBZ14bT/ixy7d50KhWBET9Ofhj/kYXzBsE7uCnX9IlAbpHNKi+n
qhLIkyZK6+SZyt8xee25/wsTXNzqv6uw/+6UWLnEzhb1AH/QlE2PwqvcH4NrlusoUtNTYCTlLnAL
7HaKpr+D3e/vSW0Or8SaNhtLZvorjMIUw6T4QerZk5hM896qCowWLFcBTYAFdlks77lwAIqiMrvP
mDrtLbwWLllm5/tO4pKSCwCuIlPjJXOsdm8JWAXCBvzvbKO4GN1o7nG2iS5GYLp7bhTvnGUIAUo6
XO6yOwHpZF8h7T9YTho/MhphSGd47u8ov8NXwn1vmYevmjYan5amiTNpVGX+03Tom381tZA5P+lk
fO/71qH37bJn2FPpmeyzvQrxNsVtmXLGso2C576XlYq3irjQTVXroH6heizMhmTlNJy2ZjKpx2VB
vKy3trCT2C2rxtzO6FHiRlbl7Cu6NoK7U2rZuPpERzORw+dxcUpR2TfD+g4Q/H0izQ+jKir9cP0f
2irA9gadErNB/1CSogLHUiEGRpfwaOEqvIG0M2yXbar0w0dG93D0cdwEE6Ldss1T1kaN2DMtayoO
i3ssyg7L2nIi9GnBISU9Dzoz51gWju2EBDdzD31tg89ZA+W65rH7px34x8bE2u66bKoCX2DpVh/K
mgj1Ic/bjW4q2BUUUNqdltr8d8RBxlvUiOgxtSmjlmU2V4/HAkSAeSO1yWz9ud7IGgM+6rifLZdV
jPMpNc2Lr1MsO0onaq8ukDqe0z42MKq5GuGoH5bCvdByPgQX5v9nY+S4+kEzKPEvBy4Nl8WyAx0q
cPB88DRV0MezwD1G8wRUxrV131P/uUaFhNaCa+BPqoYNII9TPpgVRhXOhB6n7AAcLU98CLMMHpMI
4U0gqacv2wsveMbuQ38O5uGulMhitLijvShPZYUrlDOSNh2OQm6X7V3MjEh11Q0Ux8OcaCBeNQW6
LBwiZ41YaafG42paLS/bkeRSMfRYmTvaadlUpxl7l/XPl8vWr/19gHAtL7Q//9q+rP5rm2P6xrGQ
2Vb51FDJvRpPsTn+Xeh685h0fNfJhi9exJ7z3UgRH+hVVv0EtHt37Mp90zzx2hpGe7Rdy977Rhpv
g8LC9QMP+Fe7NIDPUHgI06c/jQx8meo8uZF4SagxHSasDG3bWOPJx2UrHFNrAyuc/k8M96OUxcdY
YerZNeb3yGl0GKSlz4xdaXfqdjCNHltRHeh+pSsrOoSFYGrdIu3yzeKtCowf5JNrTxhmlydhYjOY
eBOEhKHbyaLKb70OiDZqubHTkHD9dMM1Jyi23a2vo+rOkHW+0xGIHcsuKl79cTxSjBRvhrJKVE9h
eCriPn0K7ejP8naT6fMPyqG8emXR34cRKMMwHzB/DhiUYFop3EDhRvYeO8lfKZakl2VhiaG7SLuD
Xuv4WBxozNIlBMmLZSb2sFraoOWcX0LTRgNnn/6u/nOKpXlRVbeiyMvD16lzC1qwrfXttpNIA4Zh
OuLbEtwvayJDgOb12N4vq2kNiwV66lH5zb0HINgeGyogsMP0ZF1Krb6NPbhqKmz5w5vArZMhb97K
vLhB81C/iWi+dIxHP5reRZIlIhLsy2lV+sgEVhoT+bkcHUToW4oBhowf2bPcvkAn3qJTns3lSk/i
MGca1SohWnq/rH7tyHKtIAcZnmVPufuavGo9MeIWhtRn341lsGsqKL5qcJtjbHV3y9qyWJo4c7tl
Vc7qIltF1Mta7zEZdO0ofHRdBSp1Zuk9Jgom4qtNMu9e2tRaqK/znJpo7Ti04bH6mym9dvd5iGnk
69qMnOtnY/6ne4NkCad2vEcEQ5zkn/f4PF6FRc2VxXs0UApOQ9Wq3bqFh/0UZYV4CucpR6LXcHX+
2eY3XbvJKIFB3cESDuWK+VDrvn+WZlqf0bLcmBM7LzqyKvzG3Ieq8bCUTeGTe1yI52Wng6v9Bh5I
ddAreIJtb1V74cF3zVsr+paEpbeteswRzHRAR4W8k/CcHqnbULgvUw7LJigj7WMHvhZ+iJ4hqVW3
zkvBubYQZLPz4FjxpkpzBEQwBZ6pZm4HzvVgOZbzPNUhhVPPZIaJyI65Oabult2mq2WvZ4F0jq0X
noHnMRhNkvy+atz63oOxBoReJ7+kV9zVInVea6vy0FRE2IFMRXKrNAoIcwPvf48ES20oqvvxL/gi
n0e69FjramzMB7AlKu6ezF9UjkIJA8/kMQ1DfKOMtgQiyb29Gl3zlPKMgA5TdCDaaXmmf2v3Y6F7
9za/z9bLMuuxzIm/S3TNexlmyyL8eFdS2v6+6cJpXBVzBkPnjcYFqDOncInr1rxJwOC/VPPis11b
2yXZFtrfI5Y97TiSkKzskAhCxO1g3FsYid2Ta3Xxc+XiWZFg9LZdVpcFDWzP7Z4Y2c8qIIyHvhos
22hg2JQDqYCoYxh0Nsm0fXRyRV5fVKyKbVbk7auZpL+Xv9qw/iSOit9TrlWK6SNBF/MxPlZFJ3s+
JveoKdSp3bxO1gwfqPDDFp/HiCA3VqZf/D1GuvBSslyckFQFJ6MdgxOQJ/iWMgEkZCqiXcazoSYN
m11i2fXvlwyCrY3WJbt8kEVHSIGNjo9U3VXDt8flmRz1McKEYeXoPksxb/hatHlCADCs15cJIe22
G0hcb5LBOpfCzLaJk2o3RPJXxVX47iT9g90o64ZuQQCLN/+naVh012XoasfDQxUkf5v+66z2pJOx
XsqMMuKbWQvrmx7W1UvU/9dK0r8ZvWt+7jGC/9rz72OqoFL7pg4hoUyyJ1m80QeesSj+AUR1e7u8
zAwMAZJ5UQUpDpP+Vce361Rn83xteSnwoNXIVP3frcs6zvD13WRRsg5G7U440QnJiL3PgYrvQOW1
u2U7wneKp8tGoxh8fJHn1oB+gVgtrTrX6JzD0qBZti4vl4X0HbAyr0tXFc4Zf9sve0Yj+tkFdXwa
6ecfIm6NQz5QmDMKKR5CYYiH5RWj0NcWMPXua/sQRsbBtwDul0P/ty1s079tW7x7V3gcdNgO+9Fl
WTgYfXIdFfbWkwXeJW2H9nt5+dWmGYE7/t1m2e3qDmYtPcEyCTTD6EXD/P0kRKtTn55fmhqMr+XV
smginl3Qk+LV17be9Ed5+VrP3CnbpQU+ZsvBSBxxavrXeShXAtI0jUt35YOR/dc5GDh5azEOOvya
Cq0Wdn19kDxgZCAeIj0WDzIfPTTiobUJRrP47x2HtsfA72trZVneBqTV2iwHLguslcVDc6jnlsuG
RsEPcxly7NFpFCTN3CbgxgthCHK1rCJlKveNhdPSsmraSEY1tJrnZTVxkw0PSPOlCkzzISvsl2Wz
SvBubW0y5NJRjLfGAOplCuEdl72ao19J0pweCcq2nxsxfZ46yO3upNKuwk+Jg0A8xi2+QsxH549l
5LgJlo5m3StylW5mSDLJ//209vxpGYbFO5Ck4fb1aZdTZnzaosGgWaLS3y9O6AWPi11bRvCiZ7P0
T3f02U/9a1U2MUq0AArNsnfZMQ05PfuynuviR27k4rCsjYU80VUi8cmNbZAy1kUWmCQPeLsNm4Z6
9nZovBEqU1ysQ4wK7kuGQkQnhQ7wQ4191tL680DPiuFOS3/O9UgeHK1JHuCbRUwt1GNG/sUZA/lT
pw3+TTd5+zEYUB0FwYPss2/NvFkE6GzqDDi97TL/NrRWuqYQn5yXva2bkokxZq+RAXu6tYnYGZTm
32pEYztRp8NuOco0FeXILk3vAy0PXqf0vLylr/X6GadXEMD5rcI0BcithbZfVsds/DGRO4uHVVO9
NFG4Xd4yaMHGjInk667PzVcb1ViW+Jc2t0A8dB1xMUFWF5KyvYuSDthLarghvFD7eRxzG7uhf3YP
GhyGr0OmaRrpRLHYd3i0Wg6qk7h/juKufyZoidJhDjk0jFjF8oYAGTW+fbUwuvCbSq38srQn9aTZ
Wz1Cy2W1nk84o7jzuZZjVF04azxFgn1gOfu2G+vrINDbMwCAal9r3K06Jpmd5Ubv8WMX9+U7GU4F
PMFozhqwUdtOrY/QX6XfHLf5FViaeM9CE/qLK79bpiO3Lc6EZ6qR7qWaDEkGUuD9TDW5WZpKH5zP
VLr/NOVkw416wpPEqdXTVAX9ank/F5Fi3rvyLaygKmpyYDCmZc6pQVS5LRPXv0EcuCxN29T80fs6
GkTTNfhQVHSW71CGSq495lH/+Q4Zc6jP71AWjKmW71CjGvqWCPkL+m6/C2Vm73I9mw6QA4qNibHH
t2W1rzOxMWPd/Ga3zd+9UxBZ/7WqZ6Y8ABoVO9TO4CSWlr7q5KRv9FGv7yHDq6M0suaAbTI+olqS
bzx8876PY3+DAm3/8ZtTk2vTRyvpJjAhTxGUc/QUhPV9Qz2z7DBcUJZ4U4WM9/hlFdjf5ao6U5kj
Mmp+9a/VDpNnYobtds08gNZSqhF1BDHQYVu497lhbcNBS87ARv46p+66XbZL34QLhNBZnC2n3Jat
IjIi6jjCChKCX4LB/zyBOlqeTaqWMcfreZ5+tm24oPOaTCNYPGU9fu7s69jY1nWPI8G8Y2my7A16
szwBIOCinwJQ4QS2y+vIudjUNy/uvFhW41y5p4lwyWVt2b60MArwI0AfD2dqkSJ9n49VJRlHsVPs
YlJv1osBO0rXbxVG/89JBGGyMeBZLEbo3tR8cwM/ewZOjz+3V7m37gyz+YnbBmrz/h23cZ5h0F8e
o8oODxHWQXs/zsVzpgA5Wk3v3y2lrzGA7t50XJs22Dga91inkoDW5clukFrzWuvGt6jOFJY6BGWN
Irg5KRkqqeFl566SigwQa8S1f4wemGMgxhbRI7JydbbM1n105oVtwlt0yscxTdzZUay7QME8of+D
a1nbWX00J4YVX+27pkl2esuUbdm2HNbHsPDHpCv2y+qyQ0/qD2zrnbuvZh5MKq8piyviTfcxl2Fz
9Xtt/dUAZxmGZun4++s0jeXJfTsh6lsOWnZ0XTJssjwOkVxwomWb0YqBsOukOC6rfRn+P9LObLlt
LN3Sr1KR1406mDaA3XGyLghwlKhZlq0bhGTLmKeNGU/fH+iszHSejOqO6IoshyhSHEBgD/+/1rec
XZnUqCF0snFkJF48tnRXo0QEcLnZznO8hVSjHy433ax67mh33WGmCh9xqO/arhcv9RxhYJMPxpTa
Z1oXIPgj/TsyLH2fqpotzeV3l3+SpGyv8VxhW+ax+lJZu3BR9bEbyi9ogbGey9AMDN1LH8a5FHe2
+d5TW8A4Q1zFEYwZltf1zkpV2YNuJ3qg0x3aXn73446w/mLNpnF1uQVKUdzJ8v3y8MtvEmHoRxat
f36eNK90VBGdtlXuMGAk7dovER6qH8/B5gK5drN8wfzi+UrSmU5p/RvrAJTAe33841YY/rh1Gasm
KBd/3Df8dOv3v7sMcr8/8vJ39JzGR3OkV70OgL8/8sfrrfetwJ2/+Ts5Ragfo/EYjXN2xtmYnUUW
PvTFPBzAsWTnP35/+enH75qJhtmIsoGH//HrUjHSby6322X4mkcI88lnOIeFqM6Xny7/tM0MU8XM
ewLE/n1HaOjJ9KfbtpscKj0qTulIDuWPp/njGYZWm7dGurL71ue//HN5LhYFw+aXf/zXv/776/S/
o4/qrsrnqCr/gVvxroKn1f76i2P88o/6x6+P3379xUXdKB1pe6al65hIheFw/9e3h6SMeLTxv0q9
i8N0quVXPTWF8zqFE36Fdes1BKrp9GeBrvt5xoDGz5fNGnUxOd2aToZTHOnFl3BdMsfrMrpYF9TY
zJ4kpb9Tdllrl+YwMMEgr7085PKPVzSeXyr0vs1GS0bJQoWQgHwXpZl9oxZh/finWIwbm6H1RG+Y
Yw0tyb5BlV/vNSPqN3887nIHPTcCNKsEZHKdUBQV5aEpvfEsymI6X36yfv9pfQTklJJlHLrTmK3J
OTSNY5f01X2dIKUN7flPt2SpH0Us591/PvJC/vXIu7blOLYnheW5puV5Px/5RMzo+KLE/aaIcT07
ZlHdjL2e35Busf6Me7ulv7H+ptmKmWQyZBsT6JD1n99+nSoJNrBpw7NGczMobF0AvJnae5m4CoQC
v5tCRyAn1YcYV9+/b9e9+trkqid9Jv7UINe/TeiGf9LNT3nW9c8WpqmHDC335bde36VnI8RieLmZ
GzRVJksDnr/+jcB7sI3yVmHe78UntBa5v7hlfnW5t6yyPz3/VP/p+TVLP469wmgZGqSehmEHrKMd
zlSf//OBltb/ONCOoXOeu7ZnYPmy7Z8PdO+VHgvWqPygIjLCi+H4XY5wVEgOqgBlgbEPWt7lGP9x
91iBRW3L8vTjcXHb4xSGI3qK7UVdU9bBD5txwhXO3BOauf5y8Fb98OXHMLTXH13zt0fVwvkYGtZd
TVTLI8wqazt43fLWdZu5pR6+EBCz0wuzP/aF7T2J0Li73F+wy6FibtY4OUPnRoE39tvBW97CNnua
qDE/MQb85Qlz5AcPurQQGvpTDrd0EdPd4LrxdT/W58stIIHz3W+/H+7IeYbAN9RluBksyI/IXKwg
tP94CH/a2eWPPzU1WwUL65NDlaLyiEGHgLBPpgc9bJ7myTAIeBuoJXnd+lki7bPrbude6F906P8H
xELOj5vOnNyUeFgfLY+QoKQSBYGp/PXfPev658qChXA5Nf7rp+GvvQyHX6t6VkkUd3+5+a/9R3Xz
Vny0/73+1e+P+vlv/vVUFfz3Hx9yTr6qqkVJ8NdH/fS8vPpv7y54695+urEtu6Sb7/sPNT98tH3e
/XsYXx/5/3rnPz4uz/I01x+//vIGP4syK+Gsydful9/uWod9Q3q2/qeraH2F3+5ej8Wvv5zfkvLj
b/7i463tfv1Fc5x/SssRVHaZEzwLyMYv/xg/Lne5xj91T+dCo1VtopG2mHBK8Gfxr7/Y7j9twVDn
uVI3PcvUuVBbnDrrXdY/scS4Qnd1Q+q2Kd1f/v3pf5vEfnxtfz+pXSatPyY1YXuuKy2dJ5KehYbB
+csV37mprnWTthx6Cgp49Nnz0hgMdJIdvhon9do/aUdQuBgYjkgS/nSg/mZGNX6eUdcX9wxHCM+Q
kk8jjL+8eEUVu3F0uRwI5t3QJFq6q3xk77FzkL0DMGvIvfiAhvT/+bLiL6OcDWND0eE/qM89kTXF
ba/ttz3YcDAS7ZWogR79X15ynaB+Pso/f9C/LB0yR6oQgORy6Cy/X+4R8SXgb8MNkR9d+uk/fzzb
tf7Hy3mGgYXTNU0Gc4PO3s8fkK1ojUWKIC78LeEpdtw9o9TthMQYx7DXnJM2i7dWtdoYJF7o2coI
dirGjEFYADE0s7NblMs2hYS548wlpWYmV3aEvow2piB8x0OibrU6eENXfwldAHoVVpDdzPanT+1v
QyM3mFlpt49ueSCcwwqUVXSYZDjCgKO2cTqyjW7MoEjHs+0Y8OaWNg0EiuPAabzdwP+CVj/GXaUf
4bc89NFqfMc8MU1ztGVFgx3NKW5CNJ2nsFJBaSssmnjHtGR6tjxa9NrsPuLkDh/PfWJOGCuTwwio
lOKxjtwRchMpT8bBUW/orzjzrLd4xuZRlfOz0B0Uw33nY587tQ4VUcNqz+RF+6YQpzLuj6PZfbUq
eWOGC/rj0voQRU/YaPNqmcPzSBhB27ZnDQ3WbCIZdjuO7MJ+0W+dEEOB8gF34kBpp8hfCLPJnfc+
aWsfAc8EXRS1J9TXZ2Q3iLlr9apH1P9jFDtlou1AXiEjo/OE2BzOqlUdmuwrUScf1qoSHS2+CRPG
oGPyVCbaKcAqhW+Uy31lVPt6ROiswO9tOWwHrZk/lxrGiKyADbs4AaVPo6DrUibGtMFNtLXt6hWr
F+K5bOv280e2TM+xYwUiwt2gpmdAabGfk9Y3lM5EaXz5sKziOaq/lUX7RlJLHsyeB8coxbKIUw5m
arF1x/p1NUxorrMzS8/eWc7wLOriQx8r4kOoF63PU1jTsz6L27m6cxpQQhn2BXypPuFYXuB1FX6L
+CESDFe1mgLYDDykqrY2qtmFAE9yTWCd9Roti8KZsk1uYW8pWo6aV6NmdfTvrclnPE4e/tiisj8w
eJh7aDq+jSOLQMM7/Pq4UdLkO1AqnqTFFBNr8OZggPqFtSBpz9Xn1Fpb6lX7TVZ0QbXYRf+fZaci
49HaYn3oObl8ecQ5Zy6Ojx8FjCsK/cbjjTQ2coGlXDDGDixM2VKcc1g1jYNcPW54z25b3ktDPdgL
p0luGNdAhyJ/0GS+ZetF01WLifrQt6Vp2JBsOX+ajFhhqht4rfUgCcHJxRkaxXnmD4Zmf/mipceg
04RvnvTueK4I4j1jfMjBGE1KwOBLefUuQONxjmrzfnZhuK2nbwnUDlVx9dVIHSAYXn4fzWm6GSJS
dTubjD8V5iyg+HRk/CGYXrKWzuwClNDJjut5M83lU1ZAuyCF0Lfy7hUJKq54bdhWFagb25UU9qWa
6UZQTJgAzFAm+ci11QkX64cB2TCXL0o3Nz32+jJimMU2nam7pJwMmqXtGUPps1bCOE57Dt/lzNOh
6jDugrWK6lcqyZwJCV6KNKWqocKIvQKXSeUi4HP3Oqk/En7vCqp1IcWZ6WEQ1aY3a7rT2DdZgXJ1
ZsBQlaZ/ULhnk53eALsCjbCiq9Z/6EVTpARc1NtKoasbnweXY9wK9QpgRAWu7O/VDCYqlfPeKyOw
UlpMINyncFDmFtEmmusOyjGGebSHNMmMKF+CsCeohNMJRC8IaJPBLOqSwK2T59z6pBoTG71X48ou
qDZV5Oc4XJAxavC5mpGD1pjqqP9uCfPYLSVD/uX7zHR/Jo/cn4vu3FMh2/Q5+vMi5EPJBt8vL5JG
9kfXMlANM98IYWAV9s2gNMMHr+ZQIBZ7thfzQ+UjY7GE92I5DzHGGoc31k38spQoYO3kXg3Ys1T5
rJmZ2qlkTjYSYfT699PS7YRbvUhzfAah/axk0QZaeKs7nM7UAdCOpNMzK+Nd5CaPPVYfBlVOxtH+
QEWFAH5cxxhVvKpEPOMLGaKaSoCyPqp0fjZXNwxjGex7636083tDL9CUNt8lCXj4EvGDrtexzTe6
TBwucPc7e6j6je4Vsy+aIvJDd97bWkHeTXvudQ5FQUfR79NrdhojYGJOlEljDILIzWHF2S+ytKbu
QchxwvxD0NF0VrnGrCkj2nDK/EhcjbEzTZ7y7pYol2bpPs3ZYSIiirOfj4arBbqANh9bqV7XQzI3
TDGmPaDB5Goqsnz2s2G5fEBDQ/TQ9Bit1hNe1N1rg928lG69hyXS8poQtZlH2S/sXay2zMjQdc2Y
jjtfuAwhFeltce/aLe2O+jW2os8qY5uXuPbecZfsemYa7912a8gk3MspJkvLtGiz5O+L4dAnW0c1
EeLDH3H6bwy1NJt8WcWHI9XocfSrccyQqqr5gMAEXXQdkljptvd0wwa/kiRMeQofUyxgl5RcQrEC
CDcW96rkojCn8c6u4pseplBTUkAZQc/l68wXd/kZ/vk9VMZ+K6r4kTn6iq8wJC+AcKbMjHxvfK4n
l3gqYVJjTqvSB2TyvYvKPdRJM4gLvQ6MUofwzUfo4qQKYlFvNSQPvsYVe/KSsvCdbn6m5eKn4Da3
jLLavq4LHE8JwLVkDndze6XGpyUqtrqb3ULQxUfrNAv2XO+zalyLsUPC3hf4b+A3F2t+usvGy++i
NserxVMxqX5rxbKtC/suTU1SsLrpOuP/VYdvfg67Q20O5gsZaYEnin0+sKwJ07VN2fVXuKs4S6Gu
lYV5DTICyHyPQj1JKOSP4ovjcioD1uWlJvN1xB3awmYoY7C1lVr6I/2ZbTVG8nZR0328xBpjrP02
hdDiszxC0jy2FOXxv248iw8VQ3zd2bmD0lBmT8OC/QQgVOhnef5O6gdNcWdhrgD8v4nXZsccKxMc
OAXuqrA20xLZp9bkHQ1jd0RWZBHoQJR8BF3PCd/tOc98MjpesQKx1tFmjgZlxwSLL4IMfypGDzW0
+aAB61Sy84DXwDpua7EptWmHvQp92RjhdFM0SXTCbg5svK/Npbm1Rqe8ahe6jBqDzzCZpB4s6ba2
/UkM+sHD2r1zjDqoywS/m2tB/W5DLIcG9ihjEclh8Mavi1uTjGEpsPTACwbh+XM3PLFpJy8LVhmz
Q8VJpHsU7jwkOszpNIy07dJ+Y7Qbr5xhuo6sxdh2E01OdJtPqYF5MhG4+RsmoB9vImliSCziYM+3
prZcY9d5NVayRaOPeCwtivNGjJIYtn2LlV+afpVEu1TTXzSgyn7S1QfwmvphoeUGH7yGaVTGGzPt
1L5iEwrQzn6areQBuHsRuOAzYWLZZUCZmjAHck4Do2L5U1PT2E+TB4HMYh1onRRzb0qU+jFJ43or
3ONUue+hZwuiFguTnnFgLNM37NYmMHSjPidpfmQAZlHQhRjKOjDU2OB0iPfVQ7nmXmhN+7Xl0txW
9bek4ISIh/groDcgeQtRL2mu47oPl0Cy4qV934XbqQ4yMX2D14QPEaITCy2MqOaC6GYdcsEbYk6y
ePOXM4qBIoHiy/USUihx8MZPJHQpNGGMHtF8bYy1szH7soR4QduaI2GtOwkDUfOcA5YIk+tJC+9y
8S3K+bJbpwLCUJbUwpd8a/ecae20bPG7JtvZI6LKSpL3rBvyLUgYdiBpsaGKrG2lADnD5paVjQfE
Liw7POZoMXZu1DLTG9QrNVN/TgC+oUTLUB/RpJDw6/aQhN+KYqBlAHrEU8NdkcwMA5R80M2RIFB6
uxSTEFur7vukmIjHKXtnVwQkY2391Y3NWrggztXqEavVETM6wQacxmnQWXXJ1kcAIDE/CRNHcYfj
AzQ7CRYGsrUko1EUA01MgMcQN5491Dogw3QIn7Kqj/cYK6gmg67dmG1T7YaU8agzwbgC5/eKIYUZ
ZV3bSfYel2PJ3HZEr1f4fW4Sf2DbcDnFt54Nq+82uUQKaXaktzPp2y6RaADh7QXAm2BpW4ND2zQw
1C5WEVjRzdERLdxCmMe+nvUvuTM8uLXbbgy0eUxBcGk8xVlght29gqc1uMa4jd30hp73dzxw4VbU
eLCrOX3GpRjvNHMcaSFnN6LMd2YOhS7xoDga5tBctSwtaKdr8B3ZbGbpljWlA5egNdAR9mw2LE5p
B8Y7OwU8F0m7j1wSgdQ0YG/yPneZgaPP1h6T2n0wa2CXmVa0+9wCCUNa5c6GtjpEkH4QtrOInet2
H6YHSVD22RLhY4hXQoiHNqsUOSVZHJTDKU2xOeoVHkHwFhDL0CUQ7BWIpSvh8Szv7oJzBd35bpSD
vY0kmMl4JiRwGvaW/SK9sXubcvnoWHN3ZGUFYmZyQK6EsROkZHD6nHHXLISL/TBxXctR3sIBYUdO
ySDuQeA6rSohGnvertPNJ2Hat5o3vdsqp9NomHy/0U06yvFYEk8f5s64L+rp3RNCMihynRmtXm3H
kNbh5LVxwNHldO8QAgCwDlybimw3FuzooK9DCSCoxG6764l25BYn5nhwMEIsBYRYc17kutvk9JSk
b0yR2o2u0IBzrWdabuuBIfS91ZhbXns3xuwYlSGJ12C0JNgDoXeiWSeCIo6Lxlo/brDFreZLwoCo
QBxKTxe+41J7IED8ocy22gDhSEtdvyv1BethdlVREu6IQthIZ96bxO64MMeDtYZN5siOZG2MRqX1
pcQbqYwhOw1F/u4C4xvTbUZJVF9ONquaTS2at8rW2BdMxikz7FOjh9e9ibvSm/a4z11qJMU98oOP
DM24zRTs4w+r6byitCY5Od5RL8ShWn7R4TVh7zSOc1XfV4n2VkfwYVlnA/kB7TTMQH0GgzmNZQ4q
R/nQxUMb3BoVXj5LqW8g14H611CSELeXezdpdkvmNkG1JhMTYNMLdrJhhyXKrLL31IrajV7aoz/b
9KJ5mUdyfJdDtsyHEH6OR76i01vGdeh6cG90/P2fNHRU+8UR8S40ihsTyN0hwcoah12+LUr4i1qD
BSJBUF33H0VbPwxF/OiW4acyjUioJk1+48UlGTE5g6qrXVm6wOEV2+qYiOql7oQZ5KVT7UADmtSj
SLwnvkEicFaZt1zVi+XnEe+Ao3s9Keu+Teyz5Sj01sQA7NMaD2puTUfb5t3kxFTaeCIp9S+HKkrP
RDAnQcrXxqrWusMSzbuMZkjOpGhg6rP3hCW5pAIgGsmbZ72kfjKRnBBO6bLLWkwxUV3cOa3NyEw1
aTvXbO9oVMugZ2EPAo5BEOrH1mmGu86aFNUhBvFedz4BvupWf7hfqF75yDScK8vTj8kd3rLhgOh9
2hRp/92JV/LD3gW2uaaKpb7ZRqyRXNI2IPyAls/TPZujwdcbIzzl4dRtcAvlRVYenAqjEtXn53pO
5G7d32WiUdu5eTGpYOBRiv01GIWYQsxsqLp8O+YTNDVSES7HeM7j6zxl+TPbCDt18yEHVeXSHQzs
eSGPs5hvMmRcDCi9yWKFoAY3wwAt7KA3jNIf2xbmIdxlEZMZigoPq1lMjhgC7PPUkR5XJjHmQEqC
h5lG8m42qumgwcySFreqvLZe+pQI3GYEJ6dhnbTtBaNMhtkvXcCc6bV2HET64EZacYSFe281lnWF
VgyvGEN9prsnPQTaO6Ut11zKitUNDYjPVH6tCJlRo0WCnvcE13iBFNqqp7Elnt2N3cAixI48lvkq
N0Z0/vSMuZzleSwWdezH/DiY5m0OdfRqWghCi5pxXxfMriu5QA0xBafmigGHjf06Vzs9HcCRbVoa
s2uSkglbrNyROYTvkbng4celeamWYl/0NmvNmJF9WtjCG6offNPxWMm54Z3ET1KMLfHTOhdSbebX
Cqs/mSrz7TSOaONwUTgm4gM4tqh6MRpW4AaOzXgZF9PnYX3z0qBSjOs9aBVMN8yD0JFNIsmUTam1
ES9htVhbc4KD6KhvdaF9yTPOszab8tOSMStAkdsCl9vRBlFHo2VZYVRQlklJibLZDkaZIBRyU3z8
jL0GlOtdW8pPnmi1jbA5pmXWtluBJb3wgLtN9onO3JUjivtYo2rYSmbMEbqP32VBSqWNI0MEg+Ny
+WQw3mYwSpVsoSDpmrPiKXcziM7AXs+vrrdWea1HMgDx49uRMyfXtJbt21eHxt2pEOYnGVG/zWED
AhcKMhWxNfriKGO8Bkuck/U+KXWsiNU6dSPFx3LBODIb+ffScQY/uxChBcvysO+6LWpToOkJ8W5U
fL+JvqEomPPOIG+ec0u7xXSyc6bpuiwhTGK4y+7sWnsvwT/DwQxMvX6TSh82I0kPB6Yi4xS9OjD0
Udft4ZICgm+BSMZVLPcijSCADjQVXPwvCXhs5Dbwd4tD1XLO8VFYZfXjfWKV15rNBkIuhoCAmX0r
J8Z3OJvpvnyulmlbuDXQLaGTW4SFxm8mVmxZ6G0mIgJ8C7Kl37rFNRkFlOcE558HoFC4jbVJTbC4
bjl4QWKRgEHvON4uIREeripKpApUgiRJF3oTjVRpAQutz6x3kKC8udtODYfXJKdkRGok5+I+md8W
QFh7qihnR0MlExuS0SQnV0ASvVQCAWwXYwMFBQmLuxYBQUhtqrG5HU0PxvsIz7sYq+exs0mWoQGM
o5tZAv0va2uQacpwbkeNAjRioBygIwE5T9o3gXBzWQjpK/IFwEcMOmFOdl1t4dPU7J0Y4l1T16Sm
NG+NOM7oxKiRsiVvRfgO/nNHiuUNiyuCFdR2kaAloCNgs1pljpN15eTthoDiBRKNQZwHZeymRWXI
9T7yKbxKvWUKFlaKMwJZDnKNdlup4Zs0KSknRn7jZPDjsoiFe9rO2+phcq4tZ9Yo8U94hxGgB6XL
nNepcFc77TUUd0CVvfGk1TojfBsFw7rJiDUw/CK+j8r4KBT5LPicK9bS1ktI9rXdNG+eSfDu1Gv3
rFDfajOF6zq/pJF3TZ/gvjUY7PDM1YlLYKOp3iY0K/5YV+TZ89Hgbr1RGMTuYD0tmv00ZjlZb+NZ
o+e4ySxQolENj4Qz/g3a+aOtlV9sxS8yTV3JtseVJzTWWhJDtwZLoY7BWjJZZovQtjS6SY0zPncN
Zp86kdcAxljKW+RyazDpOrUapy3+mT8RNPKKtprDguCOria7xMym4FkxkgMK8hsiKQQR6RhOGRdo
gZ8UisGc/ZUeghC0m7RlHzPCx5ri8yDDrcG2Nqc/FBSY0n1hPxCKJB+tsLsw8tknEngTAtudWvIM
FLi+TtBmcVLl+ENHBrI6zlySvgzDYa/rytuMHjSXOk3H+2poDq47vZppGLDRvm2pL20J+wZSSiYs
G0k4H+JQhgW1JoS4WVst57l1XxbhfNadIcFxy9IpjonusMsb8HADc7SySFdh565HPYtO0gXh+lCB
crBLXDZ5OYBWAyoD53+6i7XkHTTXdNMKhv1EA4daQL5IbfZ+0H/aoHPdehPK6tEYLA+1PBW9mWwy
HIhzfTRNwENO2Mn7sdjrxcc4yPfSs+40fO7g/wnlGBgtujXjxXvS1MTr4Q/c5HKmlRzh6GNhtFCZ
BhI5Jpz1VjpTU143tp11EKFC4sdllVskVLjFvUcWHrnyDJBTTO4zSnpf9ixLXMN9ArT6oJqeAiqu
4mAmZnFdsDQNJSJjHPIrod23ZarQIbt3CGir65GOw71D/I2lfypGI9m1CmiOmJKXtG+ik2asGK/Z
Auqvx1cVvbqNrpxn0Yz2IbfvKAske0w02DdZu6ykwKapASsX2QN0yeYGsNyx6nJEPm2U7m1jn3qL
ds4q6ymep2+t1tAbouh/xWJPXeF487WpkAHccVRv7Ob7aSFfoK2YdCO+CDN0GKk4Zp5bSQqA6kmJ
50JLoqNli+igvTQqmDERHBflAYSjftWs69TLXBhpPEFqPqAAYDaYnJtIMGXDvbuxNArAsMy0bS4g
BHthQNCWF2i1+yTWsBGSrWO+RLlLwpbe6EQbUefLuwz0KBZAxGIs70RNclycvF9OXQ0kpn2jw/1H
07uuQGPKfqP2PTdsFkKWvNYL7043yA0usuEmWSIstG1HOzDsN049vNqTe+MNOgWF9Tpnv/LdUnzv
ZvquErjFeVN/76N464U8rWxhKaZ1hfBmjveXs4E0iSe5vsdqXW418BY6j9JFU60rIuqITUomZFWu
IhwY+VUnfaem3Ytw4zAl1SpPZDaL07oNUmvZ9Ybn+IkhTLyM8k3Cpjolob2tc2+G9soKIHWhSelG
vw5EKRlXNvWOfAjve/vRorB4civQ8FW+ZfgBqJ5jJaA6HPu6t5XAtTg1IGdRrGTLrn1PsQOcDJS9
QVkSDOe6XINWsbA+4U2a7DfMBfRNp+GfbNg+sfdi5agTazvp38Hw4POIIS4O7snonG9LG8uT1Ub6
BlUAfDq3m24uP/XtYAScqAYN/SnZyRANO3IvUiZZCiQ6U0QXDeMBpBIIAFbHfm15JZis+ll0WXY0
soMLrEDjmk27Ap9+3JK3Os3VaUZQ7UfGi5mEBJKo/GQMGldyTJnClLpxW+sWGPxxiDBFgBNII3Y9
zI/wB6c74ekuBQsy5Do9/8htZpnJUTCRWT6SEZh/blJrr3S5t3IIPRn8nAUW7i5M7mIqM7toSb+V
ukublFgQhDZWYIMeFgO8FZO379fF60wcH6XsnFWjeyYhcFl6udGcDjuJJI+sWQbSK5LmpcxCqlFs
pkjBxIFBfFH6eeadc00iBheKvV0dgXvCX0ssQnVdkXBCXd9afdF1sncr5+tIA16YOddsnYCB8qJd
CYbwi1s1d+M6oS3i1qqVzoSXRhtoE8OWNhigrGT+3nfDVdoh7kQXcTewj9iIpP1Sls2e0v+3sE7O
Wof7PLd0Sm/xGrQg6Wsk0cLuMApfok7TXt1h51qkRqTLE+CRfjO57QfIsCkg5s+zqffWnQuOyKLU
YqcDC2Raq4GNIH3XueLVTMinJqeH5BeIYGsWzq1BqhVR2zSRiqE9NnV2U9SNidofuCoU4l1l0cAy
wuFNG0sAhT2lWAlBkbrWcznX1XFMTN9kxeqTuWL5mPUUi0T9FAL34esZbtxsTg/CggLC6matgk/D
tV3b8bYfyXqyw2eT7Vk9AFsjh/vJsFUYMPEREVXONj5/+1ip8obu+Cl09IjaWipPhGScZwMVEYSS
txz9/Ab+hLEfORuDnJN3R/zKQh78oPaFRvPTLrNrK5u/mzREgn6YieimtrS3s/JzGdPslOZEcYgu
/y6edkPojFdmI/FDYS53RMfqyDT3JFZw8i0LNmOnyunYQlpJtV5HbZKknDSrdgLuPwl27BvL8bHW
5ypwBFMoCxvpg+E8erjhH1x7G/eNs+8reTeaFDoJDGIT7jmHUrOyXZcO+MNH41QvhedTcd2C/qeY
wn4oaoS3M3L3tnahI1ylMm5Pl38qZvGTZZSxuUVp8PuPps4JZrR2p1Mftp1dU7Y3P/6U/iF3XR7b
dGqxPl+eIdGf0hC4GmIFdhZkf3f2AJ2f75F6PE+bFl1CrEj4rEe1AA9wfoICpG5ziAo02cgcZGeD
3WwwJQqURd5LrgDfqonnmuJaHgy5yzQS8qY0upWx0t4enKVSUIFleDO7nCyl+V6SNJjd4xMwjkkH
PK+eV0TneJURfXLHZ0hOeo1ENxVb10t6nFmDvNVNYKjSIzo6MpP7MqF7nPfkuypSxQTjWKHbLsI2
wsRI5FKPBhP64mmPIRyzjCxSaNnHUmDPS+v6S0ZYFpWE8UtaGJCRw+GsO/EAQs3G88xGi3WNdY4U
mJI55zu0kuV5qqH90dcnjaJPsquimPbYfKOgqAs2L4UYzk1F/GFST9Dh2OuZLJmKtNwl0roCZkT4
Z5I9FDhtdhq2iclEmLEmgi/ovhibJ77Bon/pqvDayerHOYN/aJjdnaNI9RqdEc1Jq66oSQG0WIaV
QzSIk4YRlC1VZh8tdH++0Ml/i42KAaHzM7f6TmmRRbrIX2RFQl/i7kYR1ny9JxX1VEqbTWUA0y/W
K91GnietKXkg/ehmGF0XT3GGOzxq5Yku/rHR6S6PJuZGHA807ImoKgpa7jrhOc7MLCyRgo0J2CLX
tVrSClhBRW13Y+kmpMhFqrWMJvctbTWqD6J/RqVDuvUy7+LErI8UAJPbWJcHQiw7dqQncs0+5tLL
XhBUEGxgnCAwTUDM0X4kMd3mBlOrD0KT9zLAQ3ek2e8I2cg3qLUIbsI22bcxra86I1cqdMzVVjgG
WQ2NJ7bcXR17D3U9Upmo6eI2M63pdJUhDbFIr+xJAEtRzmk2icJL2vG7mYLorAqyEejduUv1PbWQ
f4/z1z5ukBUl9rVwxRW9t4DCEMVIA+gzlaUXZHlwccC9chKLG5uwblbQuSJLfrEfnTtPS/p7sPVs
uyMKlqTCAF1cyqDFiBM4xugey8KhgV0U25zu1kmhR+VSGdxzSM7YXrg5RTM25AfVFd5VSrnoGLea
PA1DKI/gAuPTKPgYnP7FMZKOdVWRmc0eRJrXDjSCPRBa65yGtbfLrAFUY0iHPY3PLeD2G/RQ5laZ
qX7nGnjeCfUqD0TwuChclBd0VRs9GNQhA2GI4YEKLOltmtAerNELYP8nvhcBxe1sWutK65KnxtZs
X1ON/tTLZoYP5xbPSHaU37gVC+CYODFJo/xohGyobK4w3ylD9WlkG+MXaaYIASUQRoik/hSR2u1P
ev9/KDuP5caRKF2/y+wRAW+2oANBUiJFUm6DkIX3Hk8/H3TvokulKMUsWqEuVYkwmSeP+Q0aMyVD
pGJAJU0yTawAeubCYlXgg9rX0X09/1IZ4+57eqGA5qTYv/dG5kvNrAQ7ZIAIksgyrwQmGvJ1YVyB
V+ULqVOroxdbq3DMZTrcwKPQTeOsm/8XP3L5RvNycTWEj22i61gFMVv3LIHRYikcg0jTtqFe98i9
qN1N0yBe1GeFskfOGG8R/rwp+2ZVWCikyomhHWqp2VWR4Uitbt43sXltenCR2fSaDH24bGdH4QIL
o1Vq+k/R1ECzR8AJE8Mai9oB3Vo9g1ibI0y4qtuU3nrHixCGXFqCdXtjXokcG2KutKl1FfMkZqOV
KI0HmbyExkisrOImfUG6eC+KUn6M9KjfTMVNj6LNJilj4zhxxUKko6EXuVZUJnepRjhmApzSe7WI
Z10GLorr9+LK2MU9piJSzURQLUBKqJk2A3aQZc4DpKIw60FrUgcXYHTo1ndMT3rPdAHtKMusau8a
P9o1VY7BT90zrdHiYxWGDjSJyIX8g5/ARJDvOubJg5LsvdzsMRdyvdLQVzT2yexIpzgEmudMzCeH
IVu9SsfqHbF2Gm7xjTxHbT8pZpXWFumRLKU+QrAp9Oa6linJbHehEdwJIllXo4vH0aBjkngn65vJ
B4gFEKwAICDT5QkUawWKUrdRHiNhTzqMjgxzgqOp64eIZJOiyVqbytjuJLVX7YwWMDJA+LKk3a6u
KoSlPDNfF2YobwkIg8Py07iwW6EbSkCs07rvoNQOBvJ6iKsBBTEmsrQk0JxW16npB2TMR/IQRAGp
HCIGi2p0rXWpPPojol8KTTHC9rRBbGJ0KYVkP7yfpm6682kj7I0SbEumiN4BMnqwgPcAs0m0XCBx
C/TncHMPEkKJXy3iFgu2caAnwE1O2yRopqMxSfjbTwdsrGIk4/T12LfqPgk78jzDMF21Q66gxUR8
5oNvkOyf6zL5lqkgQFVFeRAiXNWS6hoAZGZljbd6wbB80LBwFyYiblBjL18TtZzExz97QPM1b6to
L3o1TYEIh43B6m8BWmBJSxUi4sTB2Y8/po4lrzhTeAfmI6OIWyVCU7P4pdrvUE1RNrJxCzE9hxbK
wKYt5NQVgg7n9AA7Z+BlW3PseohdebknM7vxJ69bt6w3RuvxQhGD/EJZJ4E2wvZjsAa3GVQ0uaqu
3hRqu2Ic266pTBJXM4RqhXDIAUPZJ0G0gL3TMt6MbXmE/cLRUEmqwxn6KMuUQYFizs0fpzKqG0sW
xIVaJ9E6K81k48VYA1oe4KpG913sWzg8i+pUK1TAHQnBMm17eqhZoCynYWAW64l7MpuRxdjtDaNZ
ozlZ7YZav/0qHHmSdpXqAoYpk2OgVE27AARBp6Hl7OsnQa9kbFS0ZNVyP+tENg6aARw3yTod6QTq
6FKUQYYL/s2UyjCcJ8oLQRlTeEAqbR3PoksIGG/Rp+DGuyi6R2kpceMp2+qirO/QF9iPkdY4ahQd
tXykS5IgFamUKnI6YU8t1PiJhIdIK+GMwnwQvyMaofOffX3p5u+8yQKWplUjzWpMhJapbihOpdeO
rxniDhibiW1XFa1Vr0y3yjCKu3D+wdd3MiTgZWZpc0e88ZbmwazW6qlrNpg2YZoAUkF3QxSaGV6f
EBwD7n5Bw3obLqVj9mg+d28WCkiI8j6gXS7Q+F2RVqn3lAvqqWQhqKv+ZI4H7wXBlKY/1eXGAkso
2HNbBZF0dR1YtvTkd+tiEzmik2zQ6nnjD27zs84/BUaPcJSU2+m9fArrm+nJiKBZLQDZaccMmWfa
11djH66nAybLgnNfYWUR0eS2p9sUoaoLI0Lx1dhySikL5Ry/6sZazZcTPjYbJDfjZfZeXKBQWeXB
KNBCXOon/15Nnbp87YoDAQF1ZIVzhFEmAtz1akxgMC9bf43IfIu0Jd1EfP1o2C0tcxPiVYwcWrT3
kg1QGPmufM1Fu3XS5GAaF0F449YB562VK97VQHvoMfXv5RZgCS6rwQvehgOaSagvLgq32JTxJT2T
davZdpRWInBFYscJDkm7ze6je+EZKAGtJGgPK/Q4tJVyr74m8k4WbWVYTMFHc1CulhuxVB08OlTD
8Rkm2t2u3INvS0o7eu5e0s5WTsHSPHJz40J9Gzb9Q4FUzmNwae+RW1AWQG0PmLNjZjmeOdWAEG2o
OCHL63Z3oxp2scDGhlltdhXzJWgS4RIJNu52CBB3zdJrbqZbhP6iPTI2+NDAroHpkmgLHJBrdzr3
DvSXfM2wR8BufZHvECDk3Ywunn730q12wS5P1U8txuggfA+qixVX17oDc4izeDIueKnILBxhK7Ku
y+Vj68INmOgNYyW4T3fmgcYxheQl2ibDvAJ8Ko7R8R8Y2OFQ9FEdyifhNLjYRiubdDut1N0V4OQq
OKTczENYLwDU0E1+q0l5X6olvb8bHGxo99vasoTmcIvlTPMMHeKBAJwq27xYSeGmVxHyXKC3p99Y
2wDwdb0wtmNqi8o2upoY1VHJDq5Bk5mtumwv5Tq7oQ4HSzAuBNEN7pMZV73kjdSMWPCM3st25Prn
4YrJ6422CbfGtcqOWrjVsYP1lw/SST56W3JTzOGzByiE8Ue1S/FWsmuaJfRW1z4e1CBBn7DdeKx2
Hm3Ah3atLoU73LUzcGx24wTBGjRJcDO8JG51MI7F5mUIFvVe2RQYX9jl0lwOD/EzhJCzcQLjkj9i
7Ecv2l+pMapcq8BcNJ/RJ7xQwBM1VN6VciMqx8aRcG62+2dCmfLKnG8G1IMA39D9Rr9FuYHoLoLU
dLKz9YoVWPmcX4UFI5Nio16aHVrYJe4zr/WzGCP2srBW2L1txXYBCtRa4GL2WG7Ns4QU9xsap8tq
096m55nRAxQXQW0nPie9I1zoFUUNr5R2kHhR1/Jb/Ri9eIypVsZGO014zj4UydI8UydOnxKuB4mT
7sWzcrJOQbSlDeZtMSEUbnhCFOuRG6M58yqoy2ZDupGtGBPpbuDmt/pjvzaevX218zeZU3zW68Bb
RK/lPGmyrXRnMD3hl9uFaiPO5eUOc7pda9wlp4Re17oT7ORK3/5RVBbxLf4dGkkTTBsHtyvAyEDr
+k9fPOC2FLUcibbxDo4Tk2fTvOmB1igL/EyrC5yFkrOGRSMDB7MxRQP6qJF74mOlbHnydnEfIEgJ
12hRv1GxDqtmtEEnMozF2XZVO9IxAH28iZAU2rX7sOJls5gyJFo4mmbsg23eFicRg1j8FTiywp3Q
bwxtAQAaeJ2+ql3vqhb4Ry3E6g5A5DAdhTMWN+NddAXPLdAKxhMdv46VdBgdiHeqw8wUTfDX7s2/
MQ9FtOyW4qrZC+fhaO2nW3wTYjKGg7X3tYP3gflFtBfWVInwMJQLJ6JE7vaoXYyj8eSfORKejK3y
LuxnW2E7oqinYYD2fr0InOq+cgEDhSBFF+KttYLMsAie9E9/B0wcRw5ank9Ykar4pbFUmZE60g3S
3OGGQa7l1j44hQUAYBF1KGtlnqt0WX2KmEq40bPIK72TttJt2b5E+/TBY2mTg4NX7u1mQdUGTCZf
8j95c5sQykbPKYmHYr9RUZFc+tt0XEefVnOPFjxSSD1HpoqLxoJBr4C3CNZAhEPQtcv2Kd3WhcNI
CUyFwTrfCgdGsKCsx6UCWIYBiDOdgmyDpXm28pdNvwhWBtDskzLaCHDfWwdJ3BQ7SJCaYZebYa9v
LLaJdCs8xqvGIXWXj+GHf4jypfkudludmHpEXg/sAp5h6QacMEmQ+pY5zY4ZZ8otllcIziNeKtli
2AHzDVb5TfZkPZKjS/tSsA1jwRhQeKHPDxzXe9duUNNH0Eq1K+y8KFOaV0sEpwfA+FB5hIWlcNLP
fnfS8bndJct6g4Q6BKBNefDt7jV7kC/jY8oY5ZXWT+Cau+wGibL6KbgvxlX9xpaTcDbYKa/CHU93
jX1EgEgMjie3PIipXIT1MrzEgWNZJ/TMcKyQGaNh/iLwltjTtvIghq5urgbs6PaS3TnSZgKk8dg4
Dchd0y7wUnrHICVGdGqhiztPXBqH7rMRHY/el0wvaJPd1wAGF90VR1qedLfqKcZuzV2oMG9aZeNd
skPtD9dyan+73AeO+qpap/YWYGI+jItxXb9heiksrHDd3kWaI/Tr+oprDPxFDGSAqKY8vB0ExRF9
ZsbPDnr37V4PkI9cyHvjM2dth7aG3eeBmbx2ajnuhfNIvhEu0Ig89cDkXzMwlysBpsdRWPtAakDW
GiCTMeNbsTGzDa6tzqxxNd2ywupjWmwlBMzFBQMr4A/tDu1jEypS5sp3/H0DH0XYBt1qvBu6nRGv
Z2xlbBOrmCMhxqZka1NzqdkRiSFTiPKrrh6aZolxFoWk0B5I2IqP6q6xzk3kIAKgPUfpVjoRoIA/
yeGVpmB2hxXXbQan0u3LlX9uH+Jyg2gdO4Zxje0vjS1GgOviTTQWAYf+vXY7KPBUkAVdgQzQHT+/
KWOX5hzpHCik8MZ/MZ/lA0Ei+YhO3bNB787BTPQ535fbwG13zZN6VySbkYkwmNKzkgd2C20Kd4LJ
CdIlHsyGYz036cYEUZTucmUxZreZsYQCGGCed+tPZzzXn4sA5oZN6ReapOYfPkoM3M0n3K5U/YBb
Nj7CXYSGhV8cKDmAgzPgGzeQtXFbybbo0ia9ZAgF7+oz007vQcB89TB95nv9nD9G5gIdr4tP+uVm
93BQF8j/Y5mZIKGJ7xi8p2WkL0o2K2+JxXYqsY0AgbJIruRxTfaCFm1Oa/Qw0Nd74Dohh0Ie4Phy
Y3DdsW3eMXHzigetOwnH9AxTZsBtmW1G1QFU9BWw5/TBwVZCjNj5pBK26e3EB3Ar55qqwxUU+Du2
d2M6NYBp+orTQjtpB3D0KEmtPXLUVxa+4HaJS94K4WdJwzx7Dstl9dHu66XEluF4AlUHIP8+I1S7
nkPeskxPeNFUS22du8na3IYHc1/ABTPJghfGIbglc/Cf2TPJrsvdAgqMumlEuzjrE15b65lvG4Ng
X1XWxYMaw2rTXA1tXxvrxtVIn0J1PBh82HCxI+RFcWb86z9LBCwyqmgJsSTbxeYmufek5ZS/PwnP
xfAs5qcuWZaPdJ19YeutyaDCDRAFgNSkZ3jNDWq5Me/wAvV80voG3j65j2hb77wMTtWYNJ6CZivb
wiG9DFesgrtny1hWLuLddNnf0fnWLhBamE5K6nI6Voz81uWD6PAavTsPSFHPebcLSPxkDHnWpuwE
VzZoDnJ8rbrpycc9eI2Niukm22Sfv3T4le2Si3/z5QZIroTHV/RBI+BOfWU+QyFKwmquoMlYexDL
vh0DFnfDY3bHZUtH8Vk8KReaGXws7ChqhCe4PrP0NHD2Xb7k5Qq75JneHYVC8lF7OwAk85T94r8T
jVPBBVHV3JgPEHZfo8/KiRjpbYuV+ubtTcia6E7DcxBtBHDu4DLS1yv2vYsThbasV8E7lkuU22Ln
IEvCPqrcaMUZxXppH2kVcF63j7Q+mnJRQWxZykv/Vr0TntK1+CZi+eHbNVv1iAsQJKmRR968RPSX
3qpPTq2+XKLsldfLfovnJpJkb96ufvCrXQSYdyvvhaXhptDcgmWJNpy5Fdflk4Up18AO5WF/AqEX
NNty4YGgySstvWGtbaxTdWqugDkxBFvm8B8BfrJXQYSux33wQlYdfRL9pGSJoGLyOtLg8+2PrgBl
uSZtAp/NKd88tKdA2Sfv2iOr8y588TapY3mY6CytnXEjwS98Z7YA6MKa7gMamCtDAQpvq8/CXnRK
iPIrjAkR4sTWa8foZBkcWFZDvYq2NQYrlPjSeQ42M0iMGs7YSsdiLmJNJgwb+nn+zXiVHh9LrHqa
JW0fhrZwzjkYMTMHy74Y1uoNC4eXFJzkXfAB/RW3wdwOP6NL98YhIJwxWXjKLmO6yTknTt5m2Bpn
YhSbwnhn6rZX9qOLfKfxFCPdgJTMmV82PGHm005bFVlPhSxtEWzJiL0PkOOU62BvI/w/7JTMSAU5
aQcH6FXiHVHex97KphcJB+aS3+QvwNGt/dzfFJj6rLw7/4yPe257D8kHa7h7JIUeXfCY4im8JRzh
oSRAObMZd9UP9YP2VD8QHoM7cQeR4Fiu+wdqV0xa9jhN7bbxSVwZjxW7rQRQmiPWNgdL7Ync+to9
9w7TmIfiCkBNWI7gSN2OVHo9PlKwY2xW7wtwkligrEVGfgz77i2X1fSK0aFAW2YRAwrLlv3FfByH
nbVESf2tHx6iei0guilucpXa0gbV7xg3Ma1/tg0MH4o4zJElG+kVNtBwgwND8emtNRkbzDW+lEi+
i6Xjb/iL+UbbjTfFLVEQzKHljlxstanuNHfY8ATEvbKqGQhe4RgHdkw/KLvH2CCnL8RByXDrZk6f
4RK+ZqRlwWpYie+luYnxcKXyFAjkM3DBLhzjULzUj9ApcNAcpJNwDbWFj2w4W6lVNwYg6N5KPFdg
NON+fRcPiCRrcTGbAIrR0qjY0oD3ITQ9+7HHy1PifqLREGJcDVcWVchd+PXnMSCsNG5Klgrq8bXU
mauo4hyH8+QtwwjClDIlj0Ki1Gvs1blvHdNpV9QyvvXN2IVxyMQPlwGk2HnpjFlmltsxFqMSQ0Wu
Jyg6qM4jm6Gfv0TAbhYtkw043rOJsVHvVWkgXRry//9lMKtDizXAJtaDxB36jBGlSkKZVEnpWh/W
R15b3d4SWnzCgHPRhAWfsEoLgUrl64s+XRND8DcMF2hiAjAuVki/kD4E5gMgy8oJ8IiYcY9QEGk8
q3BPQXLQoh2nd1GLLkJ89OlY9IWPXmIsQX2ubnpVfpdjsbaziGJON08e9+ti4qGBZWqXeUnN5QnU
3xbs7tIfP5TCO3iNJ5PC+i3kscdIl2u2igj/mBfRqrIDXjnFC3HieBxORt3GmwmqBZ0ZBmdeca/W
D6MKenX+PjQHnNTC+l2IoouVFOdqqO8a/DOIkeoiH5KXXi9ooY4PYyEom0bFZBwlfWk0jvHoO4WA
cwuFp9V5dxgPnnGRn2xDxsNaH6lYKsWRE+/kMdxBFNu8L2YD+dgHDeQN07WfZByKsU0tc3QUwf+9
I8Aa2Fh5LytxeDNlTXAtL4DRFzieUu1rZMy3LSwr4kySbDGOJ2gNTi+OwU0lQDqBjDFuvLLddKIf
LkJ1nmLWxsFMrGHXZSSZVkczEFs2xkAo5lmW/DbSNF6ZMm7RIeCMpS958Ecfplb7VHuAj4LHrovb
ZK0lpAut2LoQ2G8iHOb2gmQu/uefWnASEkB/CrqYgJcMbdaDsyQ+9JugCxbGctYJZuX0KvoQuYVM
Qcd5IXvhtk4bG6/WTYW+bKEg3FZU4/XfH/+3vsv86ZakiKbOhEj9pu+CUcrQaLlRObhCfXqDuhRr
n9ZBRBdDmAFKXqXT7RLhSv/7c6U/9cE0XOxlwFSKYZkawy1Vni/sPxJ4Yq0XgzxIFZOW1ENs8bav
9E1o9MdRhws/iaDp0+oADQ+7PPCcjJOpbHNlq1q9+8ulzPf4h6TO16WgBqeqlsUVfXsDUqyJI/DQ
yvFEZBGiUkAWQsDfEu8v4Raj6IL55CwIw/LFwcLrrhoijAuLTLjzx1+Wg/HDtcgSWFTFVDXZ+n4t
WuhJspCHzMrLDEJVxAE/ywokY/ESwEXzBFP95U0oPy1AGYqHAcVE1FX925uImdhNRSFUjp7R7jP6
9GooGjhJMq12agBv8vgNqXkuCg/BmGyDuaxaDqT2wAFgmSSukuBKjZ+SLUKltWOZXF/V+Ece+uFj
A+Oqqu5NMCDFCDK1SXm9BVKaQCtp62JiEpaYAzSnf7/Un96prCgGFFlzVr36tq5HXy04lfzaMVMO
Qh15GFsv+182z9ci/b5yFJm9o4nobxmG/OciximkGRsLh6Ku0i5o05y61Nj1Bs3vhh1T0II1+uyE
zQ9yDBbf9OZ2iLQD/I8B+jpWkwErCmHpY7/3VHPPu98UpvphNbNmCb66ZXWYRgQ0CqS+sWw/im3w
ieRvtf73w5L/Us9iByiyrsmiZUqWpM5L5D+b0dLUQfJlhXLAIjX1jRy1Ah2ME6OWMeWdTlWYOqmh
bAfUnsS5rWwirJ3MgtsAHGMURvThw8dwxYyraz1rLig+agVT7x/xAat+2SM/xg5FZXA3a47J+tfP
/3O5Cq6QuRFyuaysRSuhagPhaoECagyUqbvGjNRnTv/zoO0ihd6lDwCOnoydmGLz27X8tHsUAreo
gqgHGPptCSAvL0qCOVZOrDE9McoY43nURsaAnlAplxtfYz81WByiRC8u+iB9//e7+3H7KpYmqyI6
bzoL8du7g2/y/9bgAKBoWUm4UMRdCEh0vJqInduyktv1vPPgZeH+MKvEKJ18jkz6SrOczABNDhr7
8OHNgigTYP9FE0kfjRHTcPUPRVKg3ZNQZVsN9P7x0gXeKzoRO2iUNEyjzp1VlppZhurfN/bjwahY
pm5wGsuq+VdcAoPKAhIrp853WkuLXVdgBYJaWw9IzTQRWOJJsrYJjfMI5Zd/f/pP5yIrbFY8ExHc
U76dCergqa2aciaMs06PQGuin5imdn20kXzjGuG0MlZ988s9/xS1VBHFJBV9H5TsvsnJxUObdWPS
4/M38C4B3DzrZv787zv77TO+3VmoNTI8URYsIL/DpFcb1Ux/Cb4/rkk2g8TrY1Uaf61JK0KrRW7Y
FKW0VnpGACNRxBpYYFqenYYvmSA1XGlle4Avc4LUxDAe/HCS7BOv3IVVd+hE+KGmLOE2hxuwatAx
CMbgGY/HdVODAO4UVnIrjNeg4GweZ8Eo37grQu91FhwzPVAa/35w0ryV/4z26PVqpmISeywg+9/O
FFUrWkVALMjBHYbhFce4rSbpSgYEtYhStplRJ1fY3YwckLvxhZKpSUHqW+BM8e9L+VPFdk6euBLD
tEhWNVkyvgedUjdEcyyUErndT8Fn2B7I9K+NRmKOO56GqsE2E8GKQNn9+3P/zk5ATZoA6wwd8WLz
6wn9J/BavtRMVZyUzjQFS0NmT9Y87EVedPDRCLqY1/0SX+cV/+2Zc3+mZkCc1xT1e3Zs1WE4jaMJ
O0zF3iUCmU0q+1hU0f2/7+zHz1FlUeIFE83V+c7/c2c6NZxiVUaOewtiap68EXrIDKX3S65pKj/d
z38+51uyJSgJdsII6jhIUjSChTctzLZVrdvCACxAylXmindJmG/zOhqI28WTGm2NMrpw+/QaurZb
C9aMuVLSlQIeS1ICcR2RCdlTkHLF2WjyM5QPehBspYrATevTM1KtAfp9IWbIHANvGTQRRC/qPq1l
Aqrw/LOfwgOTPcr8SNlqZe2vp26NP0K67/EgsKXOyBeWrwKAz5tVkE9v8MyFbU9BCWcSVxGNWX7R
vmHAALwgDnwKYvhiCIq8YDZLecqozR8a8Grmk2SAlED2sYDc1DfLHI80U7rAY3RNP3jqU10EuIq6
jjaoiO0HnyKaeMvYY4JtaCY9zEky1pWmPWKNGU1HiuZy49FhzWdJ606HbhPFgAfMIbgPp+nih7f/
XinSDwcTCaWhzeLdIMO079lSkkwC/tQt5nYpggBy0J+7JMNAUz6blfVKN6KzcSM5Qed5sNLoWFuB
ikhTD9V/n4eaO+IVA3n9UZPKlRQU10lIniWk3Tmpm8rOE3kzjQGNnVLHzMu/rzo94+V67QJS4mbw
xPeqhl9txCdobUyp1OA+7xidCgiCKtZr0vdnrbFupqY9yzEt185bq1HGQCS1bqoyWKnQCBuVfxAl
4UIZ2mXQw+WMcCFV93BJTnLTnaHM+dV7NGZbRZHeR1/aeIJxgx4MluOV/NJm0qYYGD2GPHa8ymwV
lzRaTSscfQFXwFlYzNcpq328rI32HOjS+9e/6zC+y+vTbMBWdyhUyMD5msRyB8VzNMaCbSW+1FHn
eAMxTVIfFTnbwrNwkzA7TIGMF5N668doQwTVVZjyA2wXNHeC4Br08VOFrcG+CdDkwcj4rslq/COM
d0vT6eab1UMOHfEYdxbcrewINS6/owZlTXkQrn5ZIT8cFDKSyhLNJw1UpvEtmHgpqqVyNYKORoYs
96vRbVAuXegWfci00tZhar2HANiBZFTAWURee1wPDEE95Tcd7r9VeU1FkQ0VuQkLLQ/re4lCl6Xr
+iLNHeRAgKe7MbbqM1EtXZng5fDH6lyA9+JCKPqXwWjepFw81xXImiAw1VXeFUwTTSxm+2b45RCT
/q46FCo0UddlyUQV83tsr/yxw4NUzxwfygD9rsIEKsvgBXC5v/OG6slLJ9QJDTlxagOdrUDot20r
er8carM48vczBn3bWQze1Pjve63YjLHZe2OLvKx5RREg3cD/S4XVl24IpA57iIZxlyWAE5V8W81q
Gs3MOVcxR6pCrDVNUX/T0l0CnYC2/HBE72865J4A/AliiYwDrWyBnPWqZjnpwlHpEu4lbGQU59DW
UvNp7bW6DWUj+eXw/ClSUR8pSDJo9DZk+VttUMdNkcRwqlBobW8a2WL0Xr2gQWV3SXUpe2TMW9wV
SmVCLCZ/+fcu+DuDVufTVDKQhDYsTfuWZ8ZdAbtJiqCjmIyb4Csth3G80K1bh3q57+X0bhIAD/37
Q39YU2TtyF0bBomRIurf7rio87z1uzZx8hjIJ1jCIq5fJr1F9CO61Txw0hkcueEljTDcjPX3f3/8
Vwr4Z7qiigq3LUsoquva98TMD5MiU5MycSatUZktdqwOXQZ6hzXMpN5GiX7qIAcw3taYSQtIW/R0
J8pOtQcRw6pWubTzj80wvsUcEmOowaRjkr+M453SHpDxc6Mcir5R/fa25rfx14VTdJC0axqXP4e0
/+Q/pUbfWm9TLhzSfaDABp7M9wgSPhKUv1QHPy0MhaYf/gAymZD27aMCoMKe2VixE2PlhY/xKvON
Taq1BwOcN5QxKkocyv/9Yv5OmHkvKKYriJzPweZ72qUWCGsKZgwSiF9vFS/5KF2QZFiKhXT9euSx
l65U2fhlPf6dVqoiJbnylazzwd82gVbTxGg8I3aEtnXHpHNUNb4NdXH/79uTfnqmmki7C1cLUvTv
bVzSriEM+d2On2knvaOGz9loNNw4KvOnUlD2sSqvI1Fbm2gLqDVRtlJgWrXjNgQUiEiVhg7cZDwI
3m8r64cgxDOQRPJ3UxbxUfq2JQdBHjI8pWOw0spuCoMzRsDEAG+PMv+u7Z4kLwLkE6ERJf221LT5
pP2+rOfQZ2iIhHHSfPtsDpDGQuUodiwNcQkVoh8dELQWRCMnruf9tkHTzYagiVwDSiSZ4nNKm6CK
U/82gARv49E3LRAfPHwJ3poSRECTTa1IcI+HNEaxhpMAJ2G2PQ0zSa6WMOMAhRQYLHp1dpeokMiH
WUHmS3SsKVQI9LBJ4IklM6Pt8qVlIJTmSusRL/r66wjiWWgnIfoEiZxWK3Jwff/c1JpbdUgyTLk4
k+L9dWAqWGmBEZj1F+jrgXwbEPcT8s5BiMtayFL5gsDzupjLgF8W3LxJ/3qwJnbpCoe3hXP9n/Fi
itBwDVQC3dgLz14EXi7QVvrophVotBJBFE9rXYyjVRvS1DvsnJVS1Md/X8SPmwvLAcYXloz+/7dA
kqolyYOfJw6cTiBV3LYYSxfTaH4p2n7oN7KCLXx6NIK6Tq/vz5uF7aZkRZklTq8wdAKbaGJHP8uk
1mXnkkJd0DwAD867aRTtFLTyvvK6fW9Ov13I35nK3KGXGBOZND95+n9eCEaE0IiRZnWkGt0LvL0A
xlSbGgPpdHzUZipnXSevVandzET41Hz9vz9wnoLKga6aovi9I8c20Ls4IJqNsfc+P+8KfFlaeb8E
a/nvIpkmGJGROQPte/n7rh3qOJOmnIihx4wYLHT+7aRIQGdhYD1KqDwQsyKlccIOA6q+YZWjPG93
YEzkChXxGMIDlYMzWaS88/guVK2HFM0c2cNsYAAeWEsAnH4Pwz9FG9wZVImxww9tGVOvTCT8uhhk
Z+sKfeMKRfHCo1xksrwfxV+j/o/PSVbQukP2wvxrcpPwkAyd7pczDreC1CKJHBcvLW1TJCFNkDVJ
+NomryrCL72AXFVPRqqXbpgBgPn3wjDmHfA9HPCiGPKqkoI5ybdzzmplBJ78MnYgGcPSQejfRPgB
BcoS1coQ7BckqbypjwHZBCnByTLrjWg+GaZ6ScHW5B+DD3UlTDunJl2KOCCRmg6wcuBLZ0kg2wft
oFneYWzkiznQzChYDKJSvKhNfG8pzTkt8hdrEPcFQvV2DXJSrZ4qfKdLXwBdS75Eq5oWpHWZpPJO
Qa0Jq+RZePgjzBm2BybWQLms7+EY33UKEjCFUe2CVkHeQlwz4V96hoHgqf6QhZS5LHsRxOkgImsp
7wOWgx1rIVo7z1/fY4y++nrKRUlHJchfMRD9JbtWf3z3Bh1W4h/cvu+pfeXVc0sh5WQrKzdDbMmM
O7dnyLmcN0TV9+CDgtHRJFzAhuhV50lHlnSJquwl8qu3Nqi3k6heBByjoAwRsMuqxGe0Pk5q1ZOW
Wou4Ct6iV8lCcqQNACXo4xGGl5OjRRbPOlNGooOMFvT3jsVlFlqNlyi4xzkWKwY/ElHAR16qgK3T
wSTI/bumZp5lCL8cAz8lGJKoUkZC8Lb+9vRKjHaIQgREHKGRbGnI7vzBc8VoJfnlFfPJF7EAq+Ml
Jysff3kL8g9H0OxyNSfNDGuptP8MyLLErlahbzuTJ70j1/aI2P+9IQWr0srOUfHcSoqjOOOHPhPL
NIA7waOYG/vcU17MrjlnJYJ6ZsHUr5g7VZt6AEAhe9mafg+UKqs5B1Wy/fde/Sm60tOSdJHLFXlo
3/Zqh9rqUPl57vQRiDYj25Yt/R3sA6s4205F7Iq9sVYCGFr/S92Z9USOrVn7rxzVvau3Z7vVdS5i
HiAgIJjyxqIg8DyP27/+e0zV6ZNJouRr9VVLJVSZJDgivL2H913rWag0ZcaLQ0cy60V7mzSoI+wA
60xwldjjSzQYj6kjXkdYcJFzp6byOa7FF2eqT28vWaDu1IvhTPdx9TUUNworp8432OkOpdVXiIbu
/abYCxEeiX+cZ8mwlJG/lo75Za7QJxtrrj1VnjXVnMLMPtxgy+6b2igZW4SnzDVGszoYFzw1pC4v
TCW6xVm/C0bxWiTilTr1CmLbOuu9g6m1t1jzZ3FDvm8LfFoX2eWv7+Rnh11eHMcZnT0YJ7cPdzL1
KgPgPHdybPJHcGMrOZqPkcl06Qf2jPPphcioLRHMd7B8d2cM/v0Xr+CTcxV3hlQzx+KA5XzcBha2
ETZpRnWplN3tdH96y934NRDz5tFwu1sh4vs8tS6G2DmE+MnQeeSR/hjV42tj+0clMx4zIPuKgWvW
Vr94Oj9ZjlUdVY2rG6xJP3XnO/iW2UgdGiV0y7k6P5tmeUpqBlDol0enzb5qBn82WHRitjRT1VC3
fDxlMjK8XKvHbEN1YFX5qOHhmcwgry4KK7iNAslfDl88ztM9/rDy0q8Xpj5l7BmaO81Q3x3ci7Ef
KuFRvMKx/DCiYxzwhtvNJRGVXxW+7c/u9vfX+jDeXCWKI8OYCmUufKw69DCYqpC6OOGo4XM55ADY
HGSNhr4ORHkYC2LA88bZO9LlobUWWNZPE9E3NeyVTz+vKuRW5MYDoPqUTj7pJOCWknFdqG0Ihkds
a6U4YYkNQOjrDcVaKBJ7e1+01emdfIxEM6X9CJuvOBuZupE6+0KzA7sSjds6ULdlZi+zvLuS4auv
2Uu3zlDS2TsHDzYlF23IN00u16J090XVHdwU6Isi19VYH5S+PMUAfFoFqykG0KS7TDu51VtcamX7
FkXNqat5lX52GDIIJqk33poJnRLNJdIox6Q9D20QNskwzoo/nW0QczzLDRfmiyceibJ5imtrU4Es
U6Qu54C03WHRCUJydIg0qxI/2jvh0uWtrAxUkrjxjJ2FJsiO/HKVDiilRfpcIM2isliTg9XsR18m
sFAz1hGrJMknZwSCF1gb+qgBRfLDHU8wTlBaLevI7xFuNj1sOkBRvYwIiGjjmzZlk6i7BmCQRCT8
iom6jywRVoJ5CAY7WEMWQjJOBXtGCMOjV6Kzjlx9nREL5CjFEYweHh1G/ehkR1DnC71gP2aLYVtn
LIUm1LgYv3BHdpAbn13sQXZYnxzP2ZtOde7C/OhX2VGpG7QUHponA0t7/lI76oOW4FvM4vw+Graw
DGe2Be6WxsGDDRzJKzB5AykmHzEw+V2xdykItWoBB+iBuWqU7TQkBqs8utLeO5bERMqLnOYBIOlr
9K1rPYZ76AUXfdg+5rY/LLJWrn89XX76/Ki2rTI56MhWPuwWrLIuG2kxIWm1t6gsZuSgv5YFiReo
hAxpLdvR3fMWv5gHP9ukUP/g9IqYAq3Sh8uagYSh4ktcZLR/VOEesjilnp99MRN9uhyZ7DB1Ora0
Ed0P1zEQBwGvd7NNL91N27d4oiDBp7h1qabkyOmAbgZHt9IuQ2JxSvXrncJnMz6Lqm3xGVOF/Xhw
dIu0TIvepKOAhyMpUZy26N97xbrgrw8IBTj0OTPPH2+Y/JdBiOIVJOKFqAAkOxQfWwJ5mqa6jjUi
tRxr76UaHSwTWLJHEE0POXOWqhmPYE0EeJK95n5z0waEk2YMP9kBUyBtqjMrHAoZ1XyfoBAfA3Ha
twuZWye9BQMXM122cuoRJspcq6CVBnJyOgn5rGfjJhsJ3AnsuerahzQQCPlftTpGmNNhwCfXa2br
4U1ZHCsnR8NuYBoQBJpOdzOHDIb/a4gXTmTdc5SKUwtogwSfFR0reEuQe9mJfPOUHuHC1LELmDd0
OHoL1Q8p1HTRpcMmlayCCJwCVag6tZuFFnU+VQYwjioI4cQL10R+kEKAQL1JijNGKsCkAjb30IHl
RxjR+waRBo1xKoa+XEk0/3bR+OAdXBzaKhwKeo92Z+1qgYmSrPZZO+Cx7aL7MS6gb6STSBzPZ+hx
gQkr+Otn8LP10tI5orvo3Riq0zP63XoZitpMs7jLoB/SY9LuUivZy16sY5W4mv/VpT4e0boC3nAO
8nET2JAUM/jCGTV2MInzvlG+eFuf7pItzlXoUpCjcZz78X2JUivy0qh4X/GmDkjT87NlMOSrad8e
qfJJ9YkXw8kObviLt/nZrocqDSUptlqcwz5ska0KWUGWML0MtH0hoKcplpemOdiBu1cL7i9//vUH
+/kVTSr5U7DpT9UG4NSoW+AYbqqowgBWnaDKPKuefMiT6tywhkB1Wv76ku9Tx8d91qSPpdaJWtn+
KP4Z6wKqPwkKm2hIgrlByGGHxhGzpUvQqKhmY2Pd1rCZyILrk1vHOZUxFMdKskeo+qnVl+Mxb44K
C1WN2RWfadqwIw3HtSuRNphKDnWC5BE7NfcxojcKXR6muHFrFbY1H6tx7XtFM7cdnrceVxpZA9S2
9x0c3QXPyj4M4UvRvK3nqndbJRjjGphwqatv8lS7G9zyOlMyOfOoxCJoXgRNAE3YVeKFRn4Ctdke
1/HkPi9roEkIAAkJy+ecPrM5HP+nyIE6YQLH+/Wn+umoZczqtIJoTaNB/XHU9oNHVlrgppu+LM6J
vHehjcTeuAVfd9CMZdMuIvyO41eFzM8GEDwgCpkUdI2fTgZ1p8ig0Kx0A6H6HI3cPnesn2XSPKeT
BoO88yPcn9Ov3+xnqz+dJxTvYvryvrv+buYRbhUjSIZ8GLOE5OBq5i46rWnpr3JzFznqVZKXp2l/
8uvrfjbjfXfdj+fnaDSSLjdFirF5WDsJYyxy6kOvqQ9V3h1+fS1X5YZ9fEwogSIS41jKrPChVN70
DoEehDJt9Cy6GYauXxD6vvKpxmpV0hDjUryZhLnRfRrXUgR42R2YGdQNVW6059X2zKw3uv+a5NCP
LGu4inz9CKtySD0Ap3qCyE9RX30LL1ZtAMvzzKcIjeRS05DlDcTu1TAGgwhwjjneNS1IkzG+ZW6E
3Qt5ahVkW/a02KJxm9S4tUlue3g3l1hOJIh9wnbnHuIcN1KpcN5QwV/POHlRMM7Z6yvZiZiNGksI
dWdPXfudScZdU5OmRzAkUqplZvZP3Wj0hMBx7FEbc43c6+BZPiTnHvglmSYswQ2MiXjuazCEY304
Gkmwm/bNZaU/OOyIh5qxQaTC0g+GB8MficFqTlHeHoh7KJZ2rOyH2Fz24GdDJXhTxkouzaDZkTHb
HMwqIC0K8ysJvV8sMZ89NO4UQE3jgaf1o6gzSYoa3WVBXb3gdJXrDx04ikYYD2Zh7mn4PjRElH0x
02ufDV4XTQZuCJtW8cfxxPnSJ7eQCcJK7IMG8B7Zract1HpeQsINp3QodWrB1aG7sbyISMPUOwxh
FG38KL2tWtqahUbbNyW1Q4veMq94RG9PuFU3TmiJeA+LF15CC1AdbNYy6bAAqyY0iF8/F584BQw8
Fug8NKYbapUfngtfkQmaygTmkZeu0E/hcBdUvIdKPRgp74r8rWIWYupTJPz1WAkI23NdhNkyp0Lu
Y0RU3GbdtczCTXZLqh76LaxOa1ILcOLCbyfSI7nv9JVn6cDjC4iXjUIARSKmaGhB7mvYBZtfv6lP
tEUGu31TnTZTDuWfacR8N6O5lnTSRtOTzaBFy5KiOig159TkRFlU2rBSXa9Y5Cno8FRTTwF8Bc7w
GfZen2yQJovXYcwxAGqlEzhfzEOfCTEQbdM6mnYJ9k+FWX8wx8LrmGwLJ7how+RZScpjkGOMNg2M
yA0ZJxUc79ocTsAfr4KhuTRpfc06j5NnU9v3/SoNsnMTc6Og1CNzS8+StAK751e0mbMntAa1j6G8
ffGZik9mULQRSAUQuNHY+djVFJHnW5SNUvTZFUFKMX6/VjJteGJH8jMaET7dYczDbR/s3B70QB7F
46UrYDf0wauQpXZFA43udgIxSPemfM62RPWmymd/5HGRyZ/kQ2bLPmuuoKPCPSFZ0S2ocWQWT4sZ
dsoigqtKbicPm4Q6bjrhDZMVgMostzdJ7Bqk7WacpRx9l2sk5OgBdeGp8wU3JdgBUAPSl1Cg6LqJ
a+qd8SnePNSlHqA1dJWlKAuUp4p+45jhQ4YMaaa3hjrrC/ZKjuJcxO6L3TMFW1H76pti4ZnsZrJu
g5BtUVrfIJaefc/fDT7sJz8yF76eH6f1pLPviMH8Nm0Km0R/qKvqpLbtq0avj775QxdqKt1/frEu
mlPAnr/vu61bNDTIgz3U+m7hh/3bpSf0g8tq4BtRvKZaiCW9KolMce0jccgcHyECMsV2ML+KZjMm
E3dUim9ZLl++GAufDQUEabpAtMKh9mNXTdJMSOpGTzdDlCdgIfUZeN+b1K+HNec5Pp/QPXaGQojn
NH/hs4lT9QtlySebFgyCDjpzc1rRPxZ4ibsuy3TaoLk5t69PinvLBjHcuSWfDXLSjSvL5YiPdBbC
Wv7qKf5k9qdUQk+HMi47xI/V94wee9unYbaJW0IkiyzaGDkMMxvQ/UIvsVflmJEuHPPW5BlYpV4A
PLTeeEVO7nPQOGstiw5eW2pbXU4RgJ0LhJBcLmFuu3bwLqFlLghMOoUOwaHsLdbsatgTVtVfq9h/
vAz/6Z/z67/2P/U//4s/v+QFwat+0Hz44z/X5/zwnJ7r/5p+6r//1T9//CM/9PcvXTw3zz/8YZkh
h5HH9lzJm3PdJs375bj89C//f7/5j/P7bznJ4vzHb8+vfHJAhHErvzS//f2t7esfv+kIwNiI/8f3
V/j729Nb+OO3+3OV5tlnP3N+rps/flNs9XeDSRewr1ApBJmT5LI///Ut/Xcw57aY5jdLqKal//aP
LK+a4I/fDPN39uMG6nvWel2dmm113r5/R/ud04FKj5tRiKgQef6/XtwPn/6/78Y/sja9zsOsqf/4
7cOookZuqphreIEGiinjo97TUbt2DHPH3PiW++K0xKOExxEhHjnVpf7FBkafzt0/bIg53fBODVRD
CJCwCv64RnptV+LA8r2NrNR4pTmtRq0DUI5a6iGYj3klXutabNt4Cej60s1ArSnDNkmJFAi79Ftq
p7s8yYkK7yH89Q0k6UFCko99JO5ZeBc64lQkBnmDiKvCxHQXhVYSWF/V88qInfkw2M4sMsOL3Hc2
PXK0pdLJfNkp1Rdd2HdR88c3alroNlzulM3t/fGNIltMwPM77gbv5WZoyHbSIydetCGLijHCUkiI
zAm1F0Mkb0mob4qhuhZTOHLjZcUyZBr2vXQTiPQtNdKLJOERJ+80YatsLuOM9E9p4RTVQGVqOadV
GLkPMU2dnbbGqm1sNUcniNio4TYQ2ZM3+qXtx5dJxF5P6EtScvUdMakoq+zoPrSMdpeMARqJIEt7
8kl19AIYXpNKHWfENvNKDV520zmkqrETnrlw5We23zyiyq+hEJebwFHvslACqckC7AxutOFU5UMy
1yk42uGbGslNVvTXHUGQswCm7EKbqXI8l0kJzsB/s2KthvcT3hYtpJQekRdvy1lII37KS/gents9
d6UJZdNK+sV3T+vfD8T3D4D901aeQWnTLKKliTQP7++P90pURqGnzeiCI4QhqpbeKdKBDk4Y8gxn
bxZnWLKzFgQbIPxFV5LEkqMKIH1xUyuTVrudoCkBwm2yMbB7CBCysJB7gFxa2O8K6qFLs3Qe4b8C
wjY0lO60XMhOAN5v+eQbIbrjOOivHHlUHzqyXmAZhG8mNut5EYIVKW3MHAStkEoOZRg1g7scDcwN
gTHs9Kp8TILswqCkPFNCM6L+ARnahIyvFfdtn12nOQPPJsk8lt1FqMbfajO79mpZr8xd3vVb6OoL
jUCsyFOuWq0BoU5RLt3pogaPh+KdhGhS1FvuopEJE3GIexQqsiEPQTHBGtEVWIYFOIITG603p4p3
3Kib1GXEfHGfPpk72AhOnUQcST9pPGpDb1tp9+4m1IsePAIxM45vypU6QXw0GOfx468vqP5UQGdg
cNrC1MJSZ3Lw+nFgmJ1K/RXxx2bKGyss63qk1TOnJFaDZoWkEmYk/sQIc5z2MZaM4DDnDts5ucNs
iresjG9Qqf3SJwL86dev7bMxi/AM2jyT6c+lIk2ls5UqibuxtQu3zoO1HfDSWMlIKKUnAOuKjTHB
El/cg08ui47d0E267HjePpp96FYQn9Yr0NnM5G063qAmETMnj97qsqWWNsQAV5zTr9+rKqbz4IfZ
1NT4a1oZLFM/rVGRTw+p58HdiGZKUfavfPq8s6AHPz5t1e0CfKbRQbg17iianOjLEiYwgHfMbfFG
y36fdmzHXZYlHrv0EnntvoyYZDwRy3XIr0lQsEoXFGMWwWfjhWDgSSz6IVZ6beC6I+KRzXmlHBG2
7rKOj1rafrKIrXxZct1lMuC0Scj8iApMXJW4tvS8X9hW3c4n6D+6PgIGOXQLihz5N18CYrQzEjH1
ABitPXrwP7A8WU710oi7uIj7hdf2Vy4NRcTxCBnH0v7W9IA5UV+ia7Nj0JRoHkG/u2DEjDf0ZnvV
oz0ThQ0J0+mwxHgJwmfWWiEGzGniofd6YfgsBgIiJDxmkAXlSrHoQ4UDcdp6Ik96l98hO564/Zz7
XGT2dsOaUyqwudvQPRk+Dx6RByj2S/3RQkMcl9PqIG1CJMsyW2juSjgB2mZgyDnmFJRuYLCSKv2i
gIDW5efTACh8/GaYGxzLdd+1zt+dtqncEjoyQmzHaE+qo76Ksu6qlSPmDQ/FReceUYFjkiU7XdeB
YgaNfTn2I7b30t/KwQBgNNU3OKkJ0OSeIzYqbB2UyFG7SiMWIvYqc5Notr7F5wV9xr/INdTxEXnV
WgoYNFnRqbEWTUtOVYD7hWJxiwXcfCHKryTbZ5zLOtXmpkNGR5rAbSNbeump9rzWRxJTc5+o5FS+
NZm1s7UQL7fpgm7eVkF/4+IiXIUdXv28btZk7VWX+CVeySKBm+jJ01B44K+R8+UMp5qEy2K8BYt+
kZjZjVPiDLUwlpD2HZuzQtUe3TbpV1RiVvR67FnSuuA2I2VhOiPmzpYtlq+m22YEd9aqcqVkWbsK
OuUBxQwVmUCuUQPewRh/8vLWnFe1+VDJ2pulSXgbRQo2KrpZlscx2bMvnCQGGVsrh3Jst1Qpw0XX
2EeuS4injRamrbYIcSVivP5Wj4qN1mFOFrgtrbi/rCTAK4dPCMuTuTTumz4BvFV2N1lpvskyzNdp
VayyompnauFGRHrxupHLHwM21nN78phYsboi46+YJyM03gFP9OABbLbHYcFntUhkHs8F+Rh0/MZ2
6enuVvHZfBXxdhhSRjI/S/6rfGZr5swotEHwlbDAS11dGaq3kF7UzUY1oG8flLuWwutVXRcwdMeQ
JG+y8MjVyreDDcoyKxkSYUEvM6mMcNVHOltAPS3mcRzBYIg1kpxNsS2mxVkPQV6B9F9SLqZKpaaP
JKoQPVoG96Of3EYmHvCo2EZWABce5tAsCoNN2pabpNQXjVesettcBwaDATflAjU/5GGTzicGllLQ
XyTioCWBg4QgH6JvqnS3fl0SYq9WdymP66xT9WPQ24T71jHEcW18ztqdRTT9jKXEWheecW+iorZE
GRPDSsssNtE4CFYX7KbMgpqvrUXQzx1TLsw8vMviKaS1q+d9LjilJwUxO8QXjG5SL92BVLgUjZ2d
QgoxJqdFQGuWarNNGlQ/U/yYugdZCyTI0JTpRvsqD4s9aTFXRM8uC0V5TvPhyKZ1xmpjz0IdIkgF
zX9GZNZTp6F3FNz/tBKCeLFhVyOcIX4eIQS7ldws0hXyUKImmZnHjCnW8FFE0SBMovAYOSRi105/
UytoNNsWxq+haBdjBQHJUnmqGzWioxiSeDkbnnQeG/RFIMU8CTKxjy7jiJN/nK7LMn+qkPcgCtIo
TKQS1ptXeBSh9Ge3AQrbvpbMNtuq5zl2Byizpncgkvs2c8ztkbj54LKQOioVJbsUA7G2cKQLm/yU
tDuXU3JTJ7wNM9uhHvatVT41ZXtya+1bbOzictyVEjJr6IJfiyX4t6bKovlo9w+JaS7Q3rHpBnEa
o0gaYAyOmV3Nog64kYSPWQTpHQLVSXjkPsdOiaM2Hm4Td6RvaetzS6eJbuddRyiBu8KxRZpElYwL
2RGFBQuNfj5gUQWT30pYiFkAGHSZd+oVwOBDPh46ohupQCdPxEVy3437QvTpRVqFOdlx5KqytX3A
3FBD0hDxsVDcbGPndTlz1fJo+JaygiSpxVGwUYYGirmce5wbZ5E9BR9pFixDY8oyFf2d09c1p4/u
pgxAUsNbYjYkL6Q0mjsb9IzSFFex/g6XBHE09Q4aB8xkjYOkHqmbcb4hbwvSbUELk45bXUCe8qjx
kEHpNFSjVdcgNjCA5x2eqtpt5r1k0gz0Y+YLwaELVT6ksMEI1moQ0ZBlJo0qC68VAKCw8JAX5a5c
NjG86a5EOmkb9rJr8a0T8IVmoL8rJvRMrREz5Y7tDlJw2CO3iOHbhQP3Knbln0r4jae8XnpRHy0I
lbxva/c4qKzVvhvf1QUsi4G6WCOEP0Ognfpbq07XcRnayBzISgvoAc2LDgBfKi4Egsk5+8iZYrQT
1Fl/LFzjCU6QVqQocnLWzbBr96aV7QrdfyGQoEv8l9SAK5GSjDlnN3XXFCR3ooKIFoXZ7zSvfhCK
++Kl4cYqEGBLT7mPrREpkwrpfpx3hEEP8aYVxmNXyRNOd1h2iXMV2QN4eDvZuNiT455jJFEerWsj
MyNoAGEUL7TLH3oXhg3dVEq3wYFy3KPnP9aAWDLaaCI2EN3r7lotwLk0gbZ5/9lehqS+srzVo0v+
LVRw3WVr0KumnAfmnO7BQO5f/xBYvTarFGz0XUSDq0IIu6na8U6Bghb2dA4yFwTMwPczbMuyid/M
KWrFxl26UaVKsjhxS6Uwl1ppTDEKxA4wx1GLoLUaOs5+qNy3YbrY6KAJpIJ7HxQ0WktK8bL07wKN
4xrIczXqnxrCUlk6HzVfNR+V6hiF4oZ8pWqp2A0JlsrozvvJvp5VafoU5wrBgSGMkChaW50zLM2C
0AjFVc9BJKpdK5+zxrruewWKIVWErVIMjyhP8Yl7O2rKKzeDHZybyp2UqrEdRLOUPSqUgQ3PUjVG
2PClSbylbVzHE8g72xqVUu4UTq6YTDxwPGuhEJLHAbD664uJ8xOqc9otGss8sl0lQlUnK8KJJTze
UaGug9MXVJZbbnm7xCz0Qbd7/79/f/GnAgXhU3D0W+SMg+2Nu85B4ZwlztoynQLmlih2qPxgplB2
lUM87oKSUKIoRQ3nJqM6fZbtzmk0e90mw7ok4pV2w953UhquSXMIVLdi7szuKycNgTk18Ac9jZWj
R9of2AGM1Ehdt7oG2FhcioykpF4r2FRql5EG3yFO7xjiLLsG3OLGt1Aw+exGzK6hdZrGC6EhSHTA
ctYq8CslPrdVeN2PZK6y5pxNNbm0g2MRcvYYJZQob7hkmzQAMQmu+7y+y2ratnG4T9v8XPXDPtSM
BbaoZ6e1vhk7Zzp+di7AgDQ/kwx5rWGwVbU+5fhju/NIBZHqxJdda7Gut3dDm5zZQ+2x5bNNMYJF
JEaWPophDl3mSjpE50paJknDVcYQGSgxWd8498mdKVq56/UWsaQN0Sm31BSxBnavRsuMLc6HblcU
60GO2a5VymxHlra3hFZ0b7ET2qGUyvmQyTytzb2f8ogq2E0WtXS83fsXcuOmmND4wL7bg+7GkB1b
prGkR5RoFOWuEjHN4JBMODw9+SmKmxdaZ+1fA+b9/97HCkYZlZwwj3227rfB2lPTbPee8vf+f45B
/VwtsaUEgTuvsR1aGllqZjr+qQEjm8PG3IaVePIjqj99l917jrcmrqYm4yMmVtY7cWDaGElukJlp
XmiNf+eSlLaWaBiJZjM3IXpUpgZ4hWrr78BhAQifgqTDrmnJKIu3UcomLswD0gfYus0NqNmKyMyl
qY2vhuy37zXMJnKcWTeBRmpl7uQqB7bQXI1V+8ipje2RUMTSGi8tj9hcvqEzby57i+MJlMJZ1URv
nUFBzjSV89BF1Por3kCjKQCxh0nPgg7JYIu5szleVjYMUAzp2rK03uJpWZ9Kf++HRI9+WGHBZzYA
sjs5nan3I/dIkwdoJr3AtGu2hZaS1DFdLvT0O1WVS9dBKzuV8N7LXNA2TrQ2v5XjyL42TonCSaKX
2ovfjGFc2k2ytQbeX1QdAqHo894nLEHDMbMMG3ETaQ41tp5/ZEtyueiiuTmrqxVA3W2ZD5etN1OK
UCWBzidiOENz2KjjQgUwsbAIKWngf/WSLVwUFs9O492a6MIiSdxjpZO+m7TPqYVUOey0bUKJ/EIL
L5IpKDclm7NzMm0eWFq/samnNs91zglqGjHDGFiLcqpjWqO2TINVp1I9IP+vWJrmAJhY4mxFfUoZ
gXK043H3o0wk28HkGW+nsmKfE0Pk9cOR+NhXkhFxwPdyX6gQg72OQoUV1Q+eU6xtSYXDFPm92o71
3Cg9ahhxv68MzVsk8APnfQWZQmfTRM09I/2YQNRY4UVZSnM9dKBz9i2Co+X77QmYaUJoC3PUAd8a
bsSyGwG3C5YyPMnfejO/ilzSWWIx9gvF629Ggw6vNxY8HrF+UMgrFyaFk7BkN40L40YJ8VcMLlWJ
yb5rR1QxEit8CtvwqCBu/2vUxdBRUlWQjz6wO+kHAbxFvI0j+wf0Ge+FkLhi8Iy6T7wcFUf6D7jQ
POeUkB7HsOB7nNpKBtQWQe/7DdCD6Ug9VWLQiB2rynhJCmpDNNnRqYhzqIgDZJmgy4lBCVwCQ/lI
w6jslzr6fAqV0ucZNbOQ+CheeB4/s7fN2fh0wYWdTnVcALBYawRqlq6B3BrfpgN5PjnV+S7nLJeG
hoNMNSHIHubczE/Vy6SINxnFhpnJQrEcGfCzoeG+vhe3yaBOqWzjsYaPJWIqPEhqsmUeo8pJR0yJ
ZR8ttYHCcI4reqM26IMSGVM2Ss1t2/TlLpfRN9+gCqMqF51KUaKKgM+nxo3nlDH254TlOEA302O4
ypS8mkedsyIDul7URtbA6L4N6jpcB97IQ0svjOMX2J6UvJc8XiXk/HLgJfgxlNtKMR99Wg+cCogZ
yLxd48d/9n7cbeOWjIvEGd9ScddMA9gk+G4Og+lbCDQE4hXH44yLxNTN1Eoc+wKYgU51TkSUlUZz
QuS0lCwYeNQvTBTs+/eeTKJEb5RXuM29cwoT7ZCM5rH2GLZsoOokJdAcYbg2xau/j7HRmAgakb5S
vVLy6JJDJNryWNcGJ4EcVh/An3lbXepMlTMRphqJ5ibVMJWwKs1QpgwdAUpWI5YYPzoCXVFTV1OK
rYzxRYqAW+fmJGF43uVUxfXii6aUN2g1HohbN+eDpSlopSfobz3V0dgF+52ztTyTcCKeZ95hfYac
XM1lSDNdLTJOJbq6iVCFr92IdCDmFJgyo0r9gVZbChtlBkuZaNfwJraG5worNUsskma55cB/4fbA
UQQVw5mw2SUOHHNqQ3prrVGufHeTIoDIy00lwHejciXPeI1dnqjo3n0IjeYo6h7h48imgIhsitgN
XbcyX5NgzP24t5qUzZjvi0VvPVVqQqMjkXfWSBpmaj93jvJSQbsmTZXoUI0dXKlvLZVtYRiFlKJM
tCOcbwotIs4oiOehHL7ZZq/M6i7ediRE0obnXJOp3YzowglKVR9IPt1A3juVYM2dMTyIMjnoMjy2
uQiXSRpejG5kESRZbdxK+Psyt/5U2+Sx8Tkshk6ydDsMjVHCeLQFKfFi7FiLzEfVG/1VX5cHUGIQ
smUYET0cuQsF76XRkETCQM33A+SJndUcIUT4qIzajRxTwkxM/eyNWunMBTzbJXXmgOSinGDL6Ysv
ynZKMvrXnyuXsmaZ9zulzp19VarVWlf8m4pXsFPTRM4nNgWWWEXu6xFi4hiTNsi8RCqREDuiBmU6
k1Yldu9/dgPvCn8EmliiBaku6tmFR0N27J2MXp29FBQLZuTz+ssMnYbVY62Xiq7uCJBHLMuKSXq1
6UMOn/7v/UscT4kfrN3LpJHa7v2L1yY4MXGTcyCK9b/+7v0bYxBeUPMfln5EnbDKnRUyw1u/1cOL
ghDsvkx58uJcmxuURYitpT9JyZSjcb1tWY7MvXC5UM6qTehTRBL5f38xXZiputEOQNLKDMl99Zdk
9n+kJTjlKf/9KB34UX3wz8vwpcrr/K355b/6PyRK0CYVzHddlEn28IMo4XDu/7F5TgvE7dX5eznD
3z/5L2mC+N3CM0lHHu8rCoN/yRK035EWWBNIFZ3NpCz/XpYASIhWqWvrKq2uSczwb10C6gZAjHCs
3vEm+v9El2Aiffix6cPhRMeqOMEV6MJ9bMsaijX4JRHuGzbA6zi0LvU0wAixVO7Ki2QzycC1VWnv
PFoaJYl2zbPx4p+ae7qBGThSiCRyNYys4w+YY1tvrVroW9eFOzfR/IoN9eNUWUCCC0hGnJXZtvBu
kjVL9Cp7Roqo0yWPpvya4E59LYk7sLfulIz23T35pPWs/tTYmt4jVFdEGPrUx9B+7DAi3pQqe+dx
I0b7vlXVm6Ald9fRr6PeeGmr9k1RlH5WxOGTGao3v7443a1PPmGDO2VD7UNP+lFvnqfeUPKojxvn
zu334i2/qa5ItRDfmlX6FiC492btm31r3OTewthzVopvlRWBaLcOTPKrkjX8qFaXJG3ttOf0MBI/
wRm9PoTVrD+2xbxehgf5TA0JG7d5a0frMVrkm+Elvw8u9GuywBziiKA2KiSFxOe4X1rXxhP6snxG
psLIz3AIno32jJrwrP1W3qV3lJQVgIzsyeyl7S6I8SFvRMVuQNwAK+IFfMaVeB1mnb5piLQp/x93
59XcOJam6V+EDnhzSxgS9JSnbhBSpgTvPX79PFDP9FZ1dWzt3G5EBUNSZaZIEDznO6916EMixdt0
msf6LKW2dGi35l5xcgr/GDZw9D/xcrzptfiGN3pYYi8+EcPfE9u9GT5WjcixvySuyIr4Ne9AHB1q
rzB6ptXmWz5g/euAXtYqSJIFP0G2UM8ITv6JbpvseMFv3geOEdR3P+MDzcDSZBc4IXzC/WBBVG6z
5DZfyZ0LT3TcNeZTeUu/gA0m0uZP5RNtsA9wOcVrPj6J9LclDpcjPNJV86F7ax8pNVvfCfThSdf9
QdrTsA7QG0I2mx68VUgaCkWixoa2M31+GxD6KaeFUYwGxEK8qaJHPaBxa97Hg/5ZXoNLV1KzOCoc
Izh17uKQwgnbeoi3wjnfj+dwPyy78KrTZ0SZDcMcmtGK2saaKRiI5FY6ynfihmvtDy0ojM3jZwcA
PXjwC4nuQFy9yeSPldf4qYtO5kGFlaGngnxKt3OLw7KllpUoJttK2F02VJb8Dk6VvNFPy9sqJHHy
S2Bn79FJPikhl7atHKGwF2mTaxxPNsnWOHKqLZLtfDBfLYA5FY8ZnT/NjaPkdAYQVy/iXR5c7SH0
GdBwhHMQYE8bJRpbB64EyD2GEuOItQO48KP3Gzu/yA+QcOZz+Kmf+/YA4ha/Bs/mbQFfP8/rQdPp
ARF9/ZxfRh+4LFeOxo2uHDIgql3xOcJW2ckOoubNclhPkJj0dnKyrtYL5bllv8UgRxGinfPpoAeM
dlOu5kFO0Lfb9aX09UubecwPYs/EvjHS/fgmr28a2UhMM/Jm5Ajodh/6jr4eCBAXlTt+OYF6U+um
7UGhKZGHjwOjGX3JVRH9/WIkXV+g7hUuR1r6dBYu5EYatwmtiEG1wzXX2M15nQj9CEbDpukpelY6
ZxZtSu8CqkQx+4RuyPH/d/YcudlOuafNJttSXLObruT96ts5sjU/ee7eZ2c376JndU1U3FCtFV7w
0IXItp+Cj/ZbaPfkccinYfDn12o/uaq1oYsOooR+6e3c0HtC7xSB5i1cyEXpn63bcOruEUUnG+M+
P4ivImWmkboRH6RL83dqe7a/P+8/ZCih/EBtukYeQCH+eW3Gem1qo46Tog072oqXrZwbP46E//sy
/JdFeP01GqyGJbLZ/SXep2mEmRRHqSacZHxafwUNAz4+pq+lhRaccxrRlpot/l8Cxf+w7+DB/8vu
akrEzZmaiuPHXK0/f351SghaOlktvZtC/srsDU5HMBk6tJAKK10R3iXgoowmaRpSkpBoXsn8KJWR
aVsn2sQQdF+t5ifyTofdYsp81DKSG/sVCowV8Zj20wVFcmPXZkMPojJTvifGqmtOsuk1slR5y0K7
TFq3525iyciWzLFK9SAqWXIpFqWm+JvsXjCtfap7Qd22L3IF+6wbxNSQJ2TZWVHS9mouDxxeAo+7
nFaaeScrGMLM8rnTjP4x1Fr5ZNF2WCfVQF+kIWwaRn7f6trjZGAMn0M2skCs7tZQ+qF2oXzD8DLt
Vx+Odk1Htdfo8NsTrvQy98q624t5Km0VcfGNvlg8fWVy1aLZCjp5tCOe/cqicHMc6T6SiuH6Ez/M
296xHJibwmq9mjPUHpXualCwXuWqERwidipHauLvvunSs4zAGmBQfEz1QD3FQ00V3IKSp5RBmwHm
KYElxaZubvpaxiLOuTfFdGqpGvHCQml+y0/RWt+SrEUu3HLBJsw66KWQExhcgbqlUMj0JrHwBBnd
kpKIxgl5/2k1TziGOLLxGeplXjtkdEH9HMlJPltke2Yyh58eSmYYABDFTmv9FGXTNCZXpaRjWuaZ
UTn0pMkfIc8XuDn/3ayNNloFTztRcpMM3SkSyGPDD6F5cqy/IIWk/Bj8GOAAknwtyxlIfpYa8uAW
XX/UlvBRpJc6SQlVMKH8Zu0qTb+x3z8sFT08KoU8k169VBT0RJdejCjKnNqHKSJqJgifZAp9EnOq
Nws38LJ2/Wjt6/q1OroSwQzuEgsJigjFCSdagrS1LyhI1d3AllBYvasturKK9RxVzns3T2hybpIQ
17T2HMs0f699RKrFO23K+zKBeBEyle74snGRY7e2svYZNf34UlTIssyRoqO18kiYvmZudVFALVfJ
vwMDOH0uGhY+eGQx3QppT7I/Mgk2Cv2K/gtGiJ2hOw+8AzP8aram5S0naaazm+z3fnys6B7qwMxM
1D8VveokGsPN9876nomB4E3Zl5WFnqH2qI00ZyQEolmA68x6p151kIlcszaDsdgFrWPkRTkmZbMa
dstxMoDefJgKOwezCqR3bRBso0H+yOBVaF9J9LFMj8ugOQrsn9mOR0KnfdMQPbWKEUIuG2oXMIux
T06xfsiNRj8oIbHZcZ5f5gjciTg8A9rBWDeNpleOwU/xVGicsSMlJUA4mg6Q6UobnLmQal/Wi3mX
5P2uTQO12mhruVVRNw/EKQVbtQyxZqPCgMGKpD3mQo7FrHybSjEJNBzkcDcPkEt9q+KqnAK7qgoX
fXW8n8vYM9bqrZ8HfZY5MROyw7HX6qJt3ZkriFzYhaC1TiK1BIjPCh1WVKocJlKd94b+kfwUfv38
KDZfiwHCoYzz7PDzE22t//r5apB/8YlISD+iAtUIJZDQWh3csAE3xbLE8jmt3WPkaH3VoSx48iqQ
ua7ys414WR7aESIfC+qm2plOeypvKFRinB42I2Nwl5+XnXxPKrd1mlN2mk7SR5Zu2kO7hi071nXB
IUJZ8n1+5LNfH2nanr4byqQHJoSjcjbvm/IWAZfdhYlpKfpoj5RLnHqUnufyMz8wskMnIDh+M6G3
38xDS3Wd6uCVp7CwNi8GWHW7YaXPJScnyl2yxc4ZVayFtnEWrxZ1JIynKVEPe8ZZ7AoRAk6DnlXT
YcAXqZW9Y2SbjSOyCv6awYBo09ytfZpX87fp11/xcI8WJ6V1EaFfz18cvmvF1V7Go9zbuHkFCzyR
qcdOOyc741F5KZ8Y5MOruZle6Kzfipd4azQ2LYbYJ62b8p29L8kWCOpzeU8o7drWLbFnTNqYihmb
oRCc7kAXc81RxRsO8rQvw302sIBatpmcDbq/sTRKh5GyT2JtaZY3PYXpCpC5PUCgolee+bR1Byuw
KRgGAMM+BGqtEpUIaugSBVchBVPpLR/1qybhZHLSG+mXyyF3R3qAPLQ2BkWJPw2DYGUT7Xxcw8oN
X9FwVA6QpnmmGdEg99unkKN5k6stWiUq7Ok2NNO19h4Ri3aR92bs83CigBbcWwCjNj2z3ujO+MY1
Tvl8zbgXMaLu6FI2iSjqPXm0iSLNqdUVNh0Vl258K7laTJdfGpmezaH5LOv17ak3LWV7tKmwjF8s
VA71hlOIXjxgKJqsu3BmCbPOmrbX7wLoOSJOjt4+lxjGJA8fjbP6G56UxlSOZF1FrCcZbNjzmRnN
J+MM1NQmZzM+6L81V7gtLwHpGZv2Tpd7XTx0T1Pj8LvDd0bft+JY+cPvlQ6HKfkiW/msn/KPvrSR
IXWv43M8YXa1LbJtNmjgqDcYbb2wy+fKax4jjlqUi9/5BCifSD9k+sAlu0d8Qu0YN/hzTeu8Q4P0
s8aouiCZPuiJS/8d4SWvKGbCcVfx/Pc8X7E/ofvhM8kIRb0AaKu4ecLjWtdU4mzrZyiTOfR5mfzT
w3AtpTfsZIW5MU2qxilldZPU5iIaHCTPYMjakWx8gmT2JidQRPEl75THv1Ej94TBdcTgpU9fwmWL
jEpPt1l/ED7VwsWmJu16Cm+tLUKP+mxd5twVyeyYTpM/HKEWytDjzqUKQaCPm1Ln1KOob5+eyMBg
ssl+z5DHb6J1RGZb7DjbEgNSMGwTrvHZ1JuA09wmYjYhwILcqs282FRdIpxqUPPsZNaM/pN03V2B
DoqeaVqSDZoL3rJtR1nzaT2Aje70Eleb9NKRuGYLuDkUUOO1v1hGUGXao8ktQkqjOx5JLxkKB2cf
dw1HVHABN3tvBA4uuCzt6MaJvNin6dOwZcojUseiTxg1i4LH21Z8YgDeJE/e6s/ZFjDnnsM1sX34
kGGe8lyAK7jG8UA2x/JIpz2Z5eKmvmY3zjP3zkt89L/qiaJWI3Qqx2Lh/h3hf97lZ5V/d3hTt+Y7
r+HGSdck3mI/bAlPCStedZY7i2v5WCunC4kTc0PUrleUnngOHjrabW08fhwBSRikQYWGaeFeH7TH
nm/eTAL6Nu+R3x4CgBTGhFswuVbPYRvC4jGZPZNq8E3gW571CQH5whbaXQtiSY6TV57Dc/NrASVG
XXLCEmtdYFVVxq3n6rN3tBMrrPqknOPn9IAQQt6Hyl6dXQgc6pJmEVPjsYLURcV8U0/GY/mSQ2ev
GD7tyE7AXaftmt8cDSIAlcaX3gwELheOdGd2GKAQzojxZ4emSt5YIcjvpjUcg6QP1c4RwQR7rnvu
qG/1ASFTpbrNm6S4SJ/Si3nWOmgGzxC2AwI3YTdJHu9TEHm8ljK9idOxxNuCSdPYDCAKvVecgFXG
kmHhyKlS+t3Wn0wVVu2U3VG9RU/CRsHR4Zk3eWs9SnS4oUumgo2qeUoqcb67aEkbH8GNQlTYMd7F
TATWuT43ERsS8Xq2xKfye2gcxee2oxXxV37+WeZUN9zn76ArI3Ug73kI97JBU3SlVHaf3tZwKekz
EuzEvIXjKYZYxS14WJp9Bw3dHUzIrEw/sfijpwjTQzA+9RJ3uvC9WZOjDLdMrqw/KLA5gj3hqHic
3eiX9CpYDieC8ZTdQSCUN+kCADKgZbhkPrTMTaJKnnnuFr6zL7EYKMgNB68/DZfyIYbt/IWrqLXz
VyRqpuXoWPy5ACM9MmdeXBdyFAzRObrZ81Q9h+hfdTulNZi9pfTYVCRWuzussWGnF2pp59v0FgSP
AmI0BlBf4Y5NZEdrnN5d+k3wDo9NUE8hudUnwZPvZXBE7hc/JFezOljaTtsl93XwFLz4g5wUNOVD
7DTSJt0nl0XBVe8Or9Ku8tRtj5gaUs+ud+K28zme9qc4daJmW8te/2VqTlcQ6gdRAcm46e/mo7ic
g0eUg25w77+6alMxBTwhG0CUTmU3H5TwLLr0kCGsupY31Q4fqiPkGBRwuqm/Fa9/r8A3vud9/iEr
NzRtLYe6hcs+HEZk8Qzhj+x58c2y5+sgbok0Qi3kzu9q79TPrOpKzjIJh7avz+mheRyqPbuIsjNf
dGDKfGNdAJQ+FE/84htJ246hP4EzA7FOW6oDk5rkbDt4gsorDtpDBViCUjy75V/KwhTr5l+agSfp
RjgWYmfBNQtPMc6kSQ24q/yAbRH7rQrckqmfwwLZlIgbNXxb9NxpUjYoxAKtV/LRiznYjior3Yhg
gFS+jBGojhsO6pCtI5tuAKyGNV89oW3M3orChgxVvtvmVxM5zZXXNLNHYaLwwy9mmOLSMCTcFBh8
/PVMCXujc5vGtVK7uic9M+6GwnnexmJPdFnHrf+8NqyRqPY0HIffxq/xPSABgoCTz/qLU6PVOnDY
wXerexMbzciZeQ+WrL2GkK3rLmSjId4vp9mBFNxCh9ONpW/Gc8qY0VRuoW5LwZMGpzoQZVSfYxfp
yYyM+7foMyLGW0wJ4UE90RrVITzY1G54zu6Fn2yjyW4/KUk3gDWf6kPZYofYsFNczG19Rr0nbqev
4cs8c1dSP58/LafoVPyynsJLd0LLpn5afvzSHPH/g5/XL9PszcW3tFwRdBZw4Jk9J35BIXXjTb8M
c1tBU8CjI8mhJTwXCD+Ic8VG3wbfhgLnsMgq13lCsoa4KEWnaIgHqDbpMP38D0nsTkPeCVuxnRu3
y9ht+/X//jz8/Lmfr37+mjGGLOQplchRSQSrNcUSkdDrny6NpdoH8zULu92YI6lvRckJtUlxSCDd
xBDVG9qHVccUYdoNmeuFCnTakk4lOclE/hzN94aWXMjo4IOd4xzDOBWja01vsRUdEOnx3CwqtAU1
F71BYAdZqMqAL6xVp8PwspGHlCgIDd1Er5ceumkmKjSOXjCLbmuYdMI0RPAFlrYKvaMQB0N3l1Bq
uXXfjo8SaqY4LzKvlkHYyYoI7A5iy6kDuq0zuXlsW8V0ysD8kCOVjUuA2JwVBMpN6IQNIg4iPhqi
ihpAc5lMCvK7KEyKPa1WVSp8DMmLw46MYyVovFrDUlMXbIVYE7uHmunIxA1uUfOGED3ksIbUZgPl
flB79vUqXQBSzPEQJRmamFX4Kkq4rVvlrhMSQJRZtU/6NPKLGSRTFZKHCl7ZrIyDweYURPVhoOlP
WtCD1KTEsdsFtywO3lUlbffo7gDrUXDpuHU5bpMBk3pjWDZ72SgpCzpwvr52lZg58irfnFch50yw
NOYehgpiyfxwtJ6j3IjsJF5tHyaC+RBX1fSmrwLRYZWK5mhGg+Qj65tmH6AlVVdRqbbKS4dVaCqi
OF0BkKRXszvNhQwAqBHRtlbChsYBpKrB9LCEt7wotLe8f2tXSSva0nvRL8DLZOIkwRMOD0moGvR6
2csQZeyrqz52RChLaiWeBOxeghCAnBQ8h3yW3HpS3VE2BY6+y6vQmcOum9CC12L0vQQaMBKnIROL
VrTqdaG+vRoBb70qeftV01uv6t5w1fnqCH7n9ZfJ9Emn0kw9DZrgaVUHN8iE9ajD+mEJdryqj1uk
xOKqKY4RFy+ryjhd9caNfOiX17EWXgfEyITmu8OqTm6QKXcdh7Gfv5sn2rdo+qmEgKMiJqEFT4tX
rfOE6Dlb1c/onJ6IkHkrVll07erkRKuM9zW7zrxYL6zK0aanh1esjF8S8uoSmXWUcyCuCkZUpeye
i1WLXcDlc2y0PpvJkWgAVBFtp6t62ygZmFc9t6FSEKberUx6I4+15QgKgdXFo52O87FEEh6u2nCi
IpisVr14nGVbqUFB/hBpkErlzIkujeptKcUcZpDAYO9YsyRfiM/k2GQ0zNPiPa3Gz2RVq5tFgLsO
PCjvfC3u9o286toTakDV5LnWMTEnCktKJnJajtoMaXqMAiNXZhcrA6rDmNx0q4j1/SCxARjhUz+h
rDeU7cC5NOkG1K6CeJvYptpViy/ETwHSfE0lWaqVjNQ1u86XMyXdKm3Fvkh2NaWf4BZ4fwq/rUH0
YhhElkhXWbsKmwClsQLfFvbVxcQuEI/Ns1TPK0xGQNPcStjKugdr9RjUmA3y1XUQr/6DdHUiyC20
RdDZyYi4ShaNcFdhi1ndC5VU3hQuLXcnEVCNykirNQjchrR/JdOCeSSDi2ENz49W/aKYHNGkIrkb
HXENahLMZxWDeBKaT8OYHBcMFsHqtDALAr3J6NxMqwtDE4TZSXCjXip4QEEsB0+3YsyJ2DcQz1JF
h6EjWZ0dEhaPevV6lJg+Jswf8eoCIWK92cyrM0TFIlIBM3RYRiJddZQBy2uZJHY7q7hasiRxq9Vp
IuJCboe9iQGF6pCnvuruon4IsafAa+yq1a9idu2XNUHc5+S0tjUDfnEqV4dLmIcn+4H0AT/H/kIf
73nCtzCMOkxbJ44+QbhkSe+tWfwI12ZsUHlhY8YLovY2A2wysnsqeG0K+9to0SkrBxl4FDPo6s2Z
7x/6bM22VjPYt1FtF6ubWcHR063WHsImOaua40O82n5S/D9iE9paphHXVUP7TpimltJ6DJsk96iG
YmNNq13bLn6nD/sgacRD2Qj4DMTsYRq6+1AlmOHyhfFEDjksMxPlxXArcSxReeLOOJjCoTggnbiM
pD7ybvR43hOOkquWcrU/ZW2k2+pqVNJXc1SQilv6Jcj6CEOMU2lmOKWVPxPbw4+qNdNgHA5UnzyL
xuS0JUFJrSZt6xFvgjGOoL+DvG1ZzfCVpsAdg3KWFvklG2aqxdW03yzZHu328oEs7yCFi+AnonTL
TWbQrKuexynjEK13j5MCghuMxq3nPrVnlQVetraKivHQ7DGZTnCt4Wo+G3ChtbjRUlxpQVztFAW3
SgXQp2Qk/cYS/XlZdSBT6lHg9b/EgOdpmb7hZqU+c7W/NWxkUoGotrBG0VcHahktodzIq21uSBTW
qdVKF62mOgPV5qYLdLZ9oS/9BO8dMRaFLYZJ7AXFMFzSqdwPiWk4+kgqZyhbTrSM9K/C69gzAJC6
WvwkvH7qavobV/tfiQ9wESXkdKavJl3vmoIkUAuUErWLe5DeZGdc7YQjvsJ0NRi2Iu+/HiwExHMu
oypFpzFSuM5ql/tapSZOY1Jgjyzfq0uj2Caj/D3iZ2xXY+P4NAhYRExdt+vV+Fi3/YmSqxhmN8Le
T3Sl2T22q1lS6Bo/6M1dRjgw+Lt2G1djZYXDMp7IZ+MS2cSDHqvVhFmFbDaQVhnuzHq1adb4NWVU
emhOMYgE4vO4WjpJd4Kos14NIt08eZg8TRkDO7ba3B9C/U1draHt6hGVlBSSBtGzhH+Ut3v0Skl+
Q8lPhbMOJmCumLUmZw+LIByoHCQ2HwaChV1TXaniY5yr4xO5pZodmtLvPkeTqSbtFhwf9wSSfo+I
qYew9cvM+NRXG2yLHzbEF5usBlkTE8sm4AqVqur2E/iaJDCxxTS84jIlLmviU23Uv4y6ZmfTuSUI
cc2dbjXmph4aWULqh0KicUR6DlYL77CaeVXUEeVq78Xz95iuhl8Imn5DUiH1EVDZ6WoLXrw4Cyxn
gtGYR3CNEP+wvBqJWdhOxmot7q0bEX2Eu6+m4xj3MXljSOfh5aNe2S5Noe7bfFT3P1/927dTVs5+
hKaTlpBPSnxNV1JqbT+a0R8ffn5mNrPlkln2HiZBvv95qAc+ASxYkptXTG2BJN/FNdKj1YtfGqGX
HrZwDFoYBDZiHXZ7DTsvltuQQ6nEQTYxlcKZSJJAVAWmmXFyC6tuP4Rh6augTlrWryBu9t8P/Vzd
hFwxvMUSyKlN5qbYyFpp7OVI0f/5UBToT7q7JU3GXvjXQ4y8QF3oeUhavdtn60MuTzyduu88QxMx
MpmgYgpxFCJpGduh19JjRlLoP4Om/1ciwf83BSA6Qv77/0ckKOnQ+v8SBvxHkeC9bNI/6wN//tL/
6AOlf5hEophIBIi1I4ftDxpB6x+GLqIbVIll+2/54B+ji0jMoBTJIEGDIpz/oxEU/6FSQaAR+Y34
wFL4B/8X2UXSX1IASExSDY0YGSqpWCr/LUhQGvR6wN9Y+rMYZheiU7qHAB1tgiQJ3/7iYGrHh09E
Wx8G35qehv9MKPvDRfsPagrpL6lGPAt6kgkyXSPqftSSf0z+QwMuLLXJ/lZkVu1VWvA4WPkJi4x0
xkmZe3PenBrdsJnPOG5Ightq3fc8VeTHa4wyqvw/GVt/itj6Y6aN/JfoEg1JJyGLhrgm2/ylJqQR
qEGtTKB6eUapnWZCh3kOH1yWGb/zLhGv2dTv6jVeQFHCT5VYebtHi4fKQ4baFR6CwjAIMRn7raJp
CN7IRdgY1sJGKMoA4CJhl5VSS4SddCF1N4HmlEZDpmq7I0o1wBI4Pf/NRf63nCrsAPgHCVIihoWQ
IOnf089qQWyxVTWFL1qLeFCMSXLNCLqdjnNaAix1JwcNWf/pJO+kSt2mHHOQqOllVx3NqXiKS0O+
FLL5iq3Pcv/mufEp+LNUaE1DXJvQkcz+h26Nru2SZjQNUhTC8SEYYdUUvD6lqM/bULTwlK9dt7NS
g3j2rIQa1Lw81n6mgzUpQbpccmT8Iuv83zyvv9yYCHVFQqh5YqiL/tI6mogCKgMmJXz2ft0Vhq2I
8AeagNaikopjp5E4G3WkCXHM2Mrh+FLlgOllUU+bRVskSh7+Lqxa+4vciYV91TkhIF6Ta8z1Kf8h
t4PDk7iE+IB2SiKNnkbo0EFv4KU4yqPViZvHLDilshLemGOTp0LS3VmDqV5UPUZYOExoGqoJaw/G
2XIQemcg2XE/KyGQ2iK+NiNk1BBQrKRkCCWYqsl0UJ/0eZKO+iDu1V71CilBtEqWLgYUfxJKDS5I
Xpx4EtzZnBR3CObPsi8G2xSsyaNC9ai2xrBpqtbXlPIedfAaU7sanRJppwjtWRkbnOl0K52bwjHn
+RufEX6UiFjdyUB5ZKhwX10/0W1qNTExCMu4GYsRzlU2/yYqh1yUv3xODG3tBqJ1jRv5r+WXRW6Z
hL12/U5mptHlvDwrYXCoC8tCWKg0flJzWEprc7hOwURdh7oclpQS6CQqrkIPuaF35GAXcAEHa2i+
mtwAwKy5QHP/e4ygx6e5Dg7EUgeHKDB+VXUSb+N4tri+wP86ab+6IVT3oAOrJCsKNExuKZySjf0o
4xs2ZUKdo8GPWkM8Cw0PP1+lVhjuO72/DhYoOf50HR2jFF1+HrLIOkuEWJBWLAUu+ODBaIsH3sb+
nHXTtGs7TXoa1GK+YaQA+uivRZdLWzFdpKdljeBpm+hCKkhNpoRIlTElw04bYg4sifzo8mRbiVpj
SwAztkbcgBdRF+OTr+ir6pKeOqtKT7L2OfcyY9MkhSc5o2Z+WfrMZ4NzRL1PPD7c2LrkJt1Fc6se
OXM4yTGVoKF0pF7nrs7ik8T4nsshSFjyOgttv2NrIwVBWuhTbgbpzOlbFub5TG3F1dRqwRkqbKmS
XFjHMaobX12HrkxEliOVleSzsSMJFgHzRnUuD5K5SoeiuCXgFd62W+a9QEDYsc0qL8t7ZZe2wQcH
o2eTzBEa03mP9CyCGI4UifNi23mKIt6RqiCdqTOsa6OmHZOu9JVcODMfohcVMuPIrupbtRHfDKps
ckCaYySl8S0QBs7PCY7iUqzPSlPWW0Gopce+MAJWZrOw9Un1CF8Lj1rFaySlZj6PAncLKPa06bP5
KBsJuFSo0kqix4lfKo24BUx4j7uwOLaTtIr6e+KmDWy3qTZRkQR9j5FmcRIhpMB7UDkUTFlyVNeH
dhaVXTBG53QxAs+SuojqOYll1pweEkqg94ImxZdJpDk0GZBQYdyNET5SMDZEynKFIBGvAZBOjMvJ
r+f+Y2rq+drnwnQduvzFStPD0ncQVdKkPKhiLVxiRCs/3xGb9VQsExdZKiHdZ/J4qtbaa9ni96Fl
XH4etLCJfYvUFwB4fraQdfjP/5ESuE/u2ogKZP0Z6d2jwQoF2C6Xy/HnD5OtCLZuFqqLvc/0cgOH
aBW24a1ZH7J8MX0+JCAc67czbSe3Rommk9ro258fqWIRhSif962CfxTUJcIJl4aPYJnGlkb51T2u
Cg8/D2Ki7aNsXs7i+iciU+x3GSbajcIpqFX0688DMHSxn9X51893eWMuZ14ejmCJtbkdKri9KHv8
eZiG4E7XeuFRWwDo2HcT7l2Ah40BM9Vkeb5fprq6WkRQbbSJzrcQwRob7HIUqgKgXLFepFg0NjkJ
kI8K0aZSGb5URW6Q8GLMu15LOijetne7HkGMaJFF1LeAHf0io8EL6upu1vhX9d9jnMbP3cxNLGIr
IC78BcUrup4yR5NEk9imr1UIBHn6lZW9dW0ICjDkd7KQ4Nk2atDPL4AjB1VHxB1FzU5PMPAW4bCb
OwwJ8BRO0lvZIQsSchQSyxVQnWn9mPkATLXbjp3mYq0/9k1gbWKjabapijA/NJbRnilohMMe522W
Y7cLRxFHAzJIX6zib5mlzbOqUWXlQgySATo7jWzCVG+XEvA34myXN1Nwi7L8vVP6yFNZfHdUCJAR
0ZvnUuii1dm7acUh34pVAr8xy89Jh5Wbpau+6hGApzg+BXS6umNokZqpEQ9hSWWByNeK3MAMT1kU
U2+xXk0EiQJZKQ1MpowGCeshvsBXre+7q9jpwMeg3T/r05KZytPMvdy0b6ZIORI71TlXlvFgxRZk
njk9GvoYb0kymziHbJeMnzK6626jTNV+HKd3tVWpf4rbcy+Pod2PLBK6aTrqAqDbVuQdqMlCFCXK
RkkhOoh/4B5my6OO5vAYh63lFoVSblMoMnEiQ1G0YmFfA/wi6bOtSMoPvH9Xk9jjQxcaV4Po/k0q
BgYodIoDPzJ2WlbCQ0im3TMKb4uA7njVhLXkpc3ekmM4mWICz4SomOxGkD5FoUDEjpq0Sgh7HLHb
HpJBgWOKu+gIrnboInMklc1VpGI5S/1wKMpEeF2WHQiV6hA+MYN+Z+lOiaszUV2Fx4Es2xp1EXuq
QLj0OOOvGF7jcmZcmYInUSFJPxW1xzScHbWPoDw7SXgJ+9B06D/ZWv1gOLMWLlezvjVaIu2DNkYc
Wk0Vv15e0PaabKzDcjCnJvUjQlLYCKTsgu1V35OkcYoBgMMgGv20zrV9ZeZM4CukPZNoc4zWOSBH
c9oRAKKHqrZfWtSJYlgk5S/RLAnCGKtkp/TVqc7k8ixaX9GoAKYGiBmQyfup1nzFkEl2LeqKL3TW
ReoVY6/NJJ4UOlEUYYZ7tjeU6QHyTDoUhsp2bKKlWWS6vcRuaq5ND0ozFLr6UbZmdY8JThrSUdsr
bYOkCGmq02e5YOuSovhqHzb7Ptg3ekPecQvnY8bYVsVaP9cDNHi8SslKILg23xWpfpWSvNyiwqgq
3LW1Vc0E1ZSmY6zBT6YRNP7Pkxe6sL1VvXUqw4pAi5ooBG2G9Or6WDxZebpdsIt7/0XdeSw5jqxJ
94lwDTIAbKlFMrWoqg2sVEOrQEA+/ZxA9b013W3zj83yXxSNZGaymEkSiPDP/XhC7mRoJYeBIT07
Cu8Uq+XkREb6M12lxk0h/7v8ZrMh1YObJdio3LS8TskU7MKsjxjiD/QIkXUKnfahkIM8TR0TEFLM
9dAACJ9+Sq+qb2MdACuN5B/Ngq41xpzAMw9C1qKRKy2BLsaFpwIsy4WTWrV3efG2oQXeQ8RVC5yL
qldy1f6uj6YPe2icbTLzK+SYeHe5URv4cXg36cdQUYRJFp/ukXfQmXonjyKRjHYlO1Z7B8tlPNLU
MMXUH3FcCQ9jQRNV1e4jaiTuikEVu0V6MHI7Eq9jY+9ohkgz8bOA1faIOmynvn+2VRgcZebibpiD
S9/0NsHYIDumaBVEiwmBhUPx2sP81S3icSNbPBs7n8Ttq+ytTYALoWTW8REtY3NAAX21+wgozxLt
+rGttzwd5lBhJZEeg+ytn80/JKMbWKd+9ix7/Hfd7HwdBgNwllU2B8tQ9MIYUGkYQzXXIuX/YYDA
TLvHU2mp7F50PmtTp8zIfINkW2/2/TDhaOMVR9+8Jopz1KA5W31ZnnMj3A/tKG5BlYzXRnjDpphF
RBQOd41v5+UnK4keoY0NP2E+QGwzb4FsmF5iIadhkeotiom8a9j1/Z4BAE5Fiw8I96TjKK6BjZO4
XRB1syJl3Lp+pVl/qm+ucgiZQOthcFGl453s42bXm9h7qlKREvNnoCUJ2yRX2tw0oh+hZVOLNzbm
IfXKLxSoGNchTuO79dp64ScDoHQT+5cX1waMIxNCe5jh3bQH97J+S5fml6nFwTAt4R++smEGmvO9
4WXORRjC/nVRFbx67dBGuxSvOh5ATbWsNoCvzLp4IEP+2WwxxUF9sNjSPbnt41QI8WjQgcrAvHkG
1OABwwsI6A1z87ze13uT3MZyCI50YMAEMA0MgHMin+s8oeVetY/rLeRV6yLouYfNwxfjk1fF6sDb
uIK/X6Z7EdBDwlvGecoFfqE5T5kKUyyzTRYSdhK15dw6JKImYU335qjuespTX2L+D04bz74VxKAd
WkjrLk9HSqu9C8L8zWLicmep4By4o79zTcz+ZpxYzyq3zOdEWFu34wlGKnQPdKmwAyMdjjQ1bmwd
GNfJcbvxT2w36ruA4y8uUA9l1zAerC40L7OOoY9LjYVwve03GIF89PhdwCAnY4N0NeYg2No6y97p
VLtLvN3pA3lcnCm4Nkz6LgMLu36clst6URcBEfnftxOK0Pi8wXex+Ttzypxpl7a6eS+sk/DbpNm0
3lPR9MPF50MEimnCC4ExvSybcMdPZFc/ieVxIs5v61y/nQLA0kn/Qmf+WTecpwoDbqV5AD1gABtA
gAQUEGligAE6wAyJiZXABAZNFYCr9GSO2X0IbkBipRbKfmWFd8qsnoYUnirEKx5bswpGoAWKswDx
L2OTgTNoNdegBXBg4FK3FtPZZqAPqJ9EFXDODmu0IRLUQKyUhDL87i3uVx98whgMb0ZF5G9YsJyK
ZSfoy97Gr0lDdpNGqvpYTQY7wACv3Mg4wwLTkLnqicXJR6LPMAUgh5nmOc11aNqTbWXnuDjbMnnM
KxEdFaM60yYeaWkyRKQZEQWwCMOdzyPwiA6IhNmZX+v+mXV+tAeVwcBxYlVjSd86Z04EnnSYToPr
4hoeDOtUCD5TrZVeUxPvlRn0P13D7w/Cy7/C1Go2BFI+7Fqoc0WjBkgeXt9CnJHatjMQjQxN6eLr
w+V6UXo7IRNxsrLwZ7fwe2Z9d2wdcbYCZe6Jlj8J5lfgCXNg38QsjaoJtgG51HHA35s7BtOsjCim
MJ4NJ8Gz1g7+fqqLb1OIy6/V8k4ZwMMM3sGHGftIBNg/ugljI2aJjcdMg14pxjmcOiEvsR2C7fRH
xJ+6GSOsxMSldobFQkDl7df8MzTS8rHR0ay4ncqDVpCrZlE/OHA8cBhKMDzZOPcMBl/V6LcnaDF/
jN7kMvDz7IM1hd57LJz7sPXOdapCFFBhXSoQ3eyvEudNhA1Wi7S4pA1bYBeLyTYJmeLbLfmMtvGf
clxVmNrkl7Sqmw9ekptRRO9wQDDqyfar6PEYFKJd6ODw0q0YCsZ1CX4+j2PImi9xfWtiHOcgmIEL
v4cNvVOpLe8Vc+NDp4z3gcNPlbJrz+Yh2DcNp68gaiRGdgefnYySkyoMXC3mc7jc9w241c5vmqcU
OCYgzU3ZU6XrCh+CWiMY1lgzTMWovBuKBhNA/2ZaCozgSOk5b2FsZlXLH9GWV7dVkkJZWhC9Qrba
qUHNiKe+VAhHmzHoKE2ZkgPHPY5fnvngFJb/CK2OgjbxGGRnDbH62pjY/5bYd68ZDZWnzKy+tKyl
jkzqnsyFjHBkp3hVMVMGVmJtiiH0Dvk4wGV+HRGVT0aaDTtUajK1bfriu/nOWKLgjlcNLJOHnhSB
WwCZjKScYdrw+0Vc3ZxP/9mf8hYXIanV9bwRG/YbZEbnzELhrs5jLOsdz75ws6dAjNFbnVUHOjHe
Sf2PmKVt+ihnnDxBIuvtkkIKtsb8yaLDe19NwNCAbAGHgWhmjwSquwgCrybSEc58GOruPjcYfCcZ
X89n1rSpGUVsi9oTiBN7G1WaBJVSXZqTlq3hNcXN5BBvYhAoSr8+RP7yBte8uWjpegHOytXOSpti
00WYuVXzhXkuWVvzta7Cg5GPLrkbumUvTVnYl6RhT9n4LsHib8FCSw5iBAbECL/SYHvBZb1dMe2c
qFc8r3y3hgphvD1crDfXC9dacMv9j1+mqfa/f/foE5Kcx+QlsGmyakhhDuKzn7f9tiODKEBauYdy
rvLT0JbhSepv0JPLpcbM1Xrwh0JZ7FTit5f1YsgwfM4/EvbgVBpMLNbuoEan58IgTS0e+oZpTZ8O
TyBNqNnJgktVOsCvm/LrXGJzMpwu4G3fGxcCjF0Z9uw0jWDv5zp3IJLxEMfZ8hy11J2BJCwP1hg/
+UfJBPol9Yc3aQY4lLq0upieV1LQE4JTxik2AydzAFGM/ksvGauEQ/BhTmX9GkZz/br4OiiNwQwy
v1ELIt9OMN8nc9ruPB93aF5DD8a4xZ+muERmYp5ihdl37HqUjBlsqRsZKNqqJEExGeUlwGWDuOq+
TBy4Gvrsw3r5wYvtc8g2vLM76tyJDWA2beZP9qjC+zFZnGMRioaNIq7AhbOx7Gp2gLO7GwAJbhMQ
nyh2cf3gZd0tqGsStn11DHkng9qpIGvXMBKcKSEB1u3tYMk/ibKUV7gwHC7Trtp1zMvu8gJ8vlUb
7w3uyIPPGuFMCcLwRO8cCVBvUd+p0D36C0Vfi3JffJ8+Gz4C1SlKkuq9rqJrVWXG154k4NYNrOF+
KpPinlM0G6Vw2Dcsxr/GDRpPT9Dfn9zPQ5w8iSj1f5bJuBuwc9ocYx6KyBnuqhjvjjTnU+t24ltZ
kRpwFc4G30RIBzT+HE4MdIYekZcNNT6cuMvPNtWxO790l1MfEQ9fKg4ds1M4nFsUfh2EyboZ8Ue2
0xGJo7t0Fch2RbDznkoAvDdFbQEB6407Xxrxbu4IWbPZ/8NpuxMbSnEWLSCS2K8ecmuwXhHbwBDh
DyvKcL567OBmp05epIoIq3ILDwRxpVL595SQUe1ULsRR3Z707ly9JuwRtlnPLjiWGNqzYKiPrqkx
cHO261mZP03xbc48osASzqxpAAoIuvnsfakmykuJqVjThCfLM+1r4xAa9UPybWM2GQfZDP5tlOUt
yCo4QkTGGQ9OV6aT9Zlj5m2wsv7JLsXXnMAF5ttyV6P4PmYmnAI74SRlTcGmFf1z33Ey7oDmQVZd
SHLQ2etGOM0MxFUiVUl1ECYDXCmTQyYpG/UBEN0wyY07zfYUBv7uMZ/lqe/nz0miWKKP0rpfZakQ
XjVjI/FsmV9bxwUiXtecwlTwSTR0iydUnpD4BLQwN82htzHnRZNk6hkv7+msG6rn8YVXaz6LCvt/
mg/LobJ7go8BKbbQ7+1jHpvLweINxiGClpYM/2uOOtzVfH/iyI9QgcgbGCO1swl6s1B3yJwezIrP
fl8+VF4nn5IFr1AlYnUzyNuULqc0OVJu5c2f53C8pwzUvIvpGvD4817mtPoEoGC8DkJcMzsT99U8
fsRw3zDmR3d+AkXBGQUZ8YmRTT6Lh7DBlJ/bON2WuHtYkLZjn4mNO/bpYanb5KrS/nkROUq696N1
pn3lEUEZqXkkhk86qHMqvVNXKJO0kqmh3Pej4x+F8Ejdjuq7Oc7JdTE8gJ4DVfLDqZYqPcLq7m9J
S6q6IOu7N5bb2Abe0SFjvjObBqCPVg66shS7iEJu0hUYI/2xOg857rw0aOmxz/lzuK57n5aB/1m+
YcEsvUg9zPYgL/OQv8STnd5nc2Nfc2XtROua+2kOPRyqTX2LDMqj2UWGFBKeDG0fm9l4Jgh6Y9+b
x6Vj+49U3HxwtGcVbmZkjbLqi1rOc5peesdN74XBrJlFEul0U0aESGNWQj6Tp8ek43DoSGXcZdLg
Qe34cfQQA+gvvAVuRPyuI1QHJDUlZjfxvlj4+7GwFdekDvprX4dvWAGJBNoygmNTOW8+XBQOPPxQ
ozxCIX1IgaWZ2dcpyn5CUxMHzNeE7fvndAr6T1A4P/WKM6xfUX8I3dFAyXatYyOXhJgDPrWE+fxc
MhqzMqCZtT8QNzPN4Z6KgE1DvD7KlHu3xA18o6l+d60suQObQIFBZYf7ookcQgldzJvQyJ9o0nZ2
aTAtWPKyCOT7sV9iwt3+KWX/f+1UQh40nMW1Zs0YKYSjfLBB7QVxe/MIzF+mBNXUqy0YlOLdLN3+
xLHqnVEFtDLi591h0ksLSzLwtYMOfcnm3WcHROjDeQQkoOgd5+xggLolNZUoWkcHTQPGy7eQ9c6H
o5vOdxbLjTtHX6Q2R2QZ9wSsWBE2JrGdnrHUJRUMm0GGvo40MxC6MdKd0V5RUssrlmBr243GH0VE
XLPro+bVcYPhwcjzoxd8Nr3Ze+0MKV4XRH815p9Tc1A3v7DknddHJ3/Eom8tWXThL7Kg06Wvam68
+7ZdmOcFKscZWZbXsnDLaxIXwbaS2LJaCzraZNhsEEln0h+3bBPTdXaFJ/pJlwH9FFlL4UTiuRdh
FgEIi/cyrpkcWFm0FX7e0Q/IiR251eaqLOLlkuYN2VQkC02xnC48welSdUwFSNZYh2mIEf18MKhb
24iHc4YuJMc2kqem7yh4H7yJxN1E32PK+WWxo5ggkNK18VSSHUDvMZKo1JvtpOOpGqkaZaLNiKmo
nPEWp5AkOSTnnf8gW9k9KH2xHnYKPsH4UMCuTg8MLVmrt7Sa3/t6TA2tvLt5E9kyLzkFGUf4rMLU
A4o6f0j0NT81fuawpMnpjuI0Fhaz0XDYDbLgvqi6iXro7tysOAYsY69STJCLl7w4JxnY8yFJmLL6
7EBDEp+S/lTlmubecCO4VFUsbqOaMrIv5i3HohZ2VXkNR1IZUDyHE8e9Za+LxhFjS7hN9fI18Z2Y
HXIZvvRWequUND9HDhSNZBQVKVvrse/Y+JdlD3+HPyQZsrY6urI2LqQxvoyWTdHDGF6byqv01Nyn
7LnYsN6/+KYTv0plIdhN8zX2enuXZD72RCf4TkJEHueoHvdGYl8T5kafJzOmiQqsvGRJem81cXRz
JyiPrTfsXQSUy8BSz/Jr61tOqQg4Z6YHLEKrAPWv7A3JbNNG2TkOju2Bcu/C16wKjyHsp5G1691U
oCcMpX2xLNk+tGb9gES/z3O7wdRs/vTiHsdhVZ+isJtfG+RppIXXtHHS06gQl9b3w/rOALNydFly
7BuFwd8G2nIu4GRveXPzju/yN1e2xBKRM45d5conDM67ObEj+spmki9IZcyhvgwJyXCL88aGYby8
izPrlQG4uSsq5jkDe7cDyhbbPsadZGu7Z0JF7hlOIzGBCZ7rIOvpHZLzT6NbuKsoSO8tCm5Cz6q1
WuyFlAMHYadmqpQGrOm8SX0fsaXcStmZx1mz+sF1EFTMbOPYG753Wzr/Palr9VqZoXtLHPs9b58E
8/8XkXvpayhJ0CVgZo8JYN3DHMK0dseGrgPMG5y+9AVNEX9eW2Yw5OvNZHaxWaVpyLlOcUpIs/Ds
uCGYDvrd2st6UVXjhyVzSPRYMNwwJWfoN0zuTU1D/3U1Z6x9HucbYnN9WS88TeIO9bZrvWb2KWeP
WiGA85EnfYg39AI1CFoDg9CIRPN6nfAFiWfpZB4WheIcpVhRq9H68wLYsw8st71aqjXPndP/yFXZ
7rNl5gFGTQNXmga+XrPyWhPfxEfmewAgBkSzy6+rk76aUq16aX2ORknnEZ+oquZicdK6LPpivfn7
wqP0at/mzGpTL68v6wOsD/jrof5zn6TtZ/Hj+lSyAVu2RV5o2tH4vn5bvt63PkBu1jyl9Sn87QHz
BnMWZsb3Fo30UouRF8LI6ID5dVvfGScGGVFMGbtqcLotON6KngI2+czuagISXPt9M0oMFqpwpf52
//rn/9t9v2/+/nmHMU8Owezfj1zEXoF2UEEX0y9g8vtVXG8bRsMrkXbxhTe/yeAydS+RK91LMSZg
bpRXYsgIcypggxDp8GX9BgBAod011NlMTXcNV4a6flx/qXh3rP9FVA8Vk2FgJ+s1Kwm6vZmp77/v
Wu8P9Let17ow6I4z0bTfD7fe/+sx6wnhz23wz60+4dWVvHqH12vrxfqFPmUHXuS9u02bl5Dh5xkA
DgruIEDDamp8QdDkwrqIbgUH5rZ+YyXr2+33y0pObtAfqvWTNKV9e1kvBn3NFTNJ4CVN9prOe2mb
arrYyPOIetz8fbHeVyYLO0MD1Tyniof0TlnTa8Ev8tuvPfuSQHEuJ+wiQfVG8gmrE34BvPPVBp+L
3GhfUzJtnFwefEFGaU6R+0Jz3gelfwTTiWMreDUCaGmMm49ZWU2cosWB0Ay1piAqq+rZyZFgx2k/
M8rfIJ0bmyW2sB3MRxZo9jXw2OJbORACdngbRodvRWo/lHYWHOw5/xGE7HcYhL+Jmv+wpESs7flM
G1X9EczOeag6lzhrEh87x7m5vN0I/2LUi1vcR970brfegwIufBe71MovWmxOo7uIfObF5wluoDbM
3Te0OGblDEbBRpzzJuKV4QFxEWy6TlGHEqH+z62Luqn2SVGUmFpyIs3CuUWuSzawv1H9a2x7VW46
kT2YfghGsKOgBSqhapmRUh7pdf2HW8hHFLNjH0F5jK1dMgffG++Dvm2SBCo8d3H+naP1jiEgv0+c
HjMjwK/Vzt+hktGAUvJyM5gNZpjhceO92aP/1aDboiuz7eSr74FizkJdHAUcFvOCqMuXbTkzwUls
NgucxlPi7IlHyC3tSQEZEYx6NKBbHKVf2rSFNN0X1sayp3ON2SJjcjOU7C2j6DENmCfGM0v5yo02
fgMcAsxlAbuJaQ6CTBDYhxEB1VUwevCjLGzdLIXVIXgpCuBZDn+5jp0YVNQBtHSfIQzNyaFJCubn
ofW5FkeqNnREnSV+IwGnDdFTqu6pa3b2dZmDtOphyrCu2SlCyOxpiy7Idiy/GAQSynYd6xhhtiGP
3PZMrFAlbTu9hdJ5mZUd0mcJdxtvxDMS1Y3fnb75OcVRnLKv8unioPnEoptqoRJbVO98Ov+w1E4t
6KRZx4CbBf7ZjXlzWZZ9ihYwh52THJeBqlPRm9/YQHR8ZG1L7nhv01ZcxfUOXX4zHSLVfMyK8HlT
pwQqxhnwg7nDIRntF88nfl9az7PvAdqPdqQmmxx6pAQutemBZu8ju5wZopTRUU7uycXktTVx7hxM
A7K6StT0Zhe9fZjI1gFMaO1jlVTmTrb1cMriiQq+RLmvE5GWcjRhWVIMBKKk9F6XyuqemKrDcGTb
sN4V5wQM+9F6NqvZ4CzkhfuuXT7bke3dSMv6Z59+hG3mIhcsse2DpZv8V6NPWibokXlgroih06OC
Anexruv2NpCV+YA6KVQAXMrYfYCWRfwGndtUT66olpckoXlewpQ05ogVj8nbJsTjh68Fv5LDGA1l
ohtep2nO7kmxvXGiGF7XCzVdpqkzX+BrpBGPlLXOD/C0IXssmBW+K1H7zZhT4fKzSNP+Qt9p+pg6
BgXchKibyOZYpUsqfeKdUWeApEn8S+I6dzWD2WDwhmu7eMwICOQB2Xl2lOM/T1Z6mItleDR7+6Wt
5PfELEO+NKNVz071IFy6ckbTGs+BlTscNSRmm9oi60o93L4M5bF2O7Ju7OwGepvJtttfWe/khwwZ
Ed1vApZZueOdn72XTQZGpRrlPgJhFNnjK0YPAE4DiVsrCFk6NSwLC/PWgim+efbsAlDCrjjhazgI
YxZ8kjNAJI0okP19mikT68613Kd2gPxqiHiCgMD7ujY+QKRBMFbB3YTv6rQsbborSyh9JCWanUyV
dqvDN8Yf/nMu7BecFcmLQp5PIlW+ifE6L1344iXg7b38o7Tm8S4K5+aWGdbz6rppJaok5MBLvMjT
IPjv/xcv+T9QxQGuK9/xSHNYwvwHp3IZ7CxMfac55VaQn8aBobcqIQfhGXwLMC2+TGUnd3KZD542
d0xCpf/LU7D/kfag+ZUDqml5lskg8O8N8GGUqD7D0H+iwo5Ojd5+8Mks7YyR1Bwnss+Frbu0zLo5
hPWQ3NOLtA1tCl0MKtC3XeuUOOPi5KrNpuZglQ9AFl4Vw+Uz21XzXrtAVzXq//2Hs7Wj/S/lpTxr
3zRJT+DDd3G9/9XxTpqhcLJ64g8XKrEvPCs4x0N0bzkLtve6cI9E6QEEDdZ5ELD72DblnyGgWC7J
MOLYUeeGX6d9YwUJCTnzvUbMQfzxfmJQ8VyOXyyBUWMeu9pLocSmyy/E+v8cJflHuIHnH9qkCIJQ
8GushvO/OPazpRgtUXOoo8jYcI16l6qOX8KTDNlm84wro9pieRoOS+F/ogmLw4N7y+A9QFOr3T3e
/rsx+OaB5jstIvgUagUEJudnPnmP2dTQGATyYNuViXdUmXvvKioI1hfh/xQB+/8J7+7hFPlvb7N/
JLcef1ZVR0/B1yr9+pf01q8f/Hd6y/0XSHEdmXF/xa146/1JeA/Mf3lWaFl82RbI3xb/3b/TW/a/
uEtAXWdOEBKtCv+T3nLIfCGYk+oKLJIuNMv+n9JbhN3//tnwXVfT4skpgNnlIPrXz0ZROt1SNsxd
pqJ5GbNx2Udl9uLOc72Nkm3TifAQG9ZDVbASsU0xMqpyu0MZmNuuKjzimn7xDCW67LC3Lmp0j6EG
TghKs/clGE1mBLi6BWrVXe13TyP7mX1J+d8OE52kw9PdJnflQEWIjEqg4j3/AFTuY+yFE4WF2MY/
qgiQdpSSAGVsoR8rJ5bqGPdkANQFRFThARH6lkk8fDKvh42Hz3cZw+SUJoDLXCI+ICJIAnctgwZS
1wHbH5edYR5/hMy6N4Xh0e+HxID8JrJr36m3LHlOM/yIczgcE5UNJ9YBn5GCYTUqAIld/MfYCRau
es8wU0Q7NyH13+Clc5sZjVEUus2dCgrtpi0HsAKtcDAGTqk2GETA+VJKjWjWAexI4euObjqxJSmU
n31bfgMFDPodJ2vtGG+CmpD9kpkDnCqkCJaZZyJBMB+FfaMyKtowNAWP5na33LmNk9KwcZI4CY1L
DhluloNEpnvXD85TbidbP+zb82Kb416GOQDthFN6Fobsp4dbGrvqaolvLAPzO2dwb47h+DeOneV2
yrBzS2aXR1nAPTdFS7h18vOD09EPIyIKoOdWbeeGQHmohox1Kxxtlxjb0cnSD9eGM5VMqEi1nvKl
TQJZaMH4vvjdK4r8dZAjJQNNcEpIygUe/S+G+h5Z9Vc5cUidFibFoV8+4MtnyiZmkPIm4WE86bel
KIxzUccPHgCGk5+y/g9tZzPV7mffKtVDFDd3UxM2VyS0HY0K1smAcLwbl+Do1Mb8GvXYoLopA3KL
FjizUmWEJRHGNJeY3csUYmpmR+bvOxe+7Uzxx6FSlbmhdRynl6B7B22dobBwh1MZ2NOpL0AJBv7o
Hdvkh0Rpk7SA4ILqhqPllwevMn4SsIUCCpSXfABfimPnWUGaHA3/nC0DZvKsv6s6SEGUUzX0eBYA
/nO33YaK90lU8IfDsNXvhBs/9kO87EcAzuelAZKWDf4XldD/bE44YwucLqxtcXsuyvw0oU9tB9sO
oBq1N9Nvf4xVxI9M3UsosOLEXfSlNMa70qxeloSymL5Kb24QgztjuwG0SHAeMQHhDM4npvwv3WJ2
KOPzgiVTnmXEWUkWDUmjWdzqr+mCnX2YMCvM9sucmuUprkYmy8HBhLTdC9umdq6Mj4B0XuPR+Blg
Qd/k08hGwZuxxdqopPnLLFh2l8rsqMqt/igluKrOV/j6Ijy3TUS6mky8FaP8BzDIAmk526rjuDVX
3ZUniyFwWr6l2XghTUIInQPSvrD9b61fH+sybB+cMHyVDA46idYv4CftRFhCHM3fwlzejazV3Wbx
N0os5VP+xZqGH5xveRJTD45dBNskNY3N2CjyBHU/bbIegteyLNmnqLUI3HvBFnNqtTDSrAL0esTU
UrjXiOHvplQTM2JdQ8WG+5sjCnpr2uRQTfDnRh/PdhSp4uDZ4WvFwGFj+TTMVbnlY0BPwTbWsDAY
j1ADZu76FJ7WAhbVrCnicuLhvpmS8oTrD5uE6x/HJT117Dnj+UirW1i9FXYHE5H6pQaEWd8eE9xF
hsnxwQuPbmDbJ6njeFFW7nHUf6JAm06IwoE2g3G/NZ0PCoXBUc3MLfthTk6jg7KL9wdBbcrfh3SI
dmOHAUFU2bgfujMDXAC5MKvBQHOgG9Wr8sQMngWSjrVwuKAK7zq01F8Lp2Sq6D75A7vsepzRHxpi
htn81hQOuQYiT8+flgJzQB71y56YzTyonI0LjVBmTmknqMXZMXNk7IuTFeZdhQ/NdS7jmGf3y0xq
pmfWfstFCljW+44eC6uyd+D8UREZlv53AzCerbehht6QDnpr2ulNaqu3q2K8ABpHyPR+uOxmTb2t
7Zld7THz7YQAtdyy9130JrhPqw+1x/5FtAbaLRpIRv2QpCtaBGeGVOylTb2pVuyuwYJ3u6axTnEN
Xi2M+rORMBP1soUjjNo57NFb9uq53rTPevvuYG1dsDYfrCCyNr0H6Dphtx+x67frmbfCKgSgCDgo
A56WCGYtFhhaNmAhchy0kJCiKDQdUYilZ8Mwb82Z1TmIdWh9qBC1liMyda9QJ1pUClfLFY4WLhpx
rNExWi1oTFraiBNEDgO1A1zMfElsiwG5gAOHImJqaaTUIomn5RI2XudFCyiOllIYk/bbCFMYEkuq
xZZY1EfKtTXPg7yUtZwrm0KKpHmayG3VeBsp1wYdkqDhDKuYQ/0i3C5+FS30MFACCjah+oXOfRlW
J0Yay9bR8tCihaJQS0bhOH4PhjaDOnO0s+hrPPu4yRCZHNSm2EN2MtGfcnSoXAtSSktTBhoVbcM7
KtiYRPgEuxCxWu8jRdPyElDLvXzvAuM45urRcrEADAv8n7Z7MLI7DgqMlVHJUBsfIp6gwjADOvlm
aDnNQFdrtcAG3YkWPZSjSotvPSoc5zYtxyHMsdo4MgU+p8PZk7CRYmMUmwAtD6+hFvYMLfHZEi9d
07IcQf3rtQxYKueBmuh3al7pCZuCW6x4cym0w1qLiFCh8EVm9jmu6w+phUbJ0Y0wuX/EIvwWajHS
QZW0pxZcveE8NOiVixYuaSmksAMtEzq5fY3VfOTNjb8OubNtGl53hpWMSnfMQZ4rlNEKhdRAKc21
ZBqincYhImoRvLpaVOUzd4xQWTFzUfmT8O5zUWA1lpm1VaOF2VJLtL0Wa6l+v5iot3GAyfHEmT3e
13oCsl4Q58L7rKXffFWBR/TgPmqZlGjFWGoB+ffFep/AP/vrPt4ALDkFvXOZHu3QPfnnRaAde5Ji
JJS8w7wOSvRII12V7PU2H060Z3TuUgvevwpTtQjeazk80sJ41ryUWigftGReafpGpx1z60WuiRzr
tfULnhbe11/EUDbs6LUrlY30n9WpM3W/nWt1v9pUg1X0/8/FWq7a9e13L2OJvf7k777V9TF+Pebv
h7OaiLNkM+f02rffFpwFl3p4iVMzPKNA5MfGyO+TuKJdDtiNe1m/wV9mnO5BdKbQiBGEoZ9bsE4j
fv0X65ihz0imcc7a5npYIfXchQwz44/16nrn74u/3bc+4t/uw7C2KztHnv52/++bQQR4iJl9x3GL
A3miB0FQ+amrXedCgNIuzToxWm+Ds3gv9DiJyG1NOpKLTL+smZ58FesEar1drHOp9euCWVWph1bV
ep+pR1moAljG/v3D67W/PaDUgzGhR2SOnqL9vjDXUZq+WO9L9aBN6pHb+hTWh8rX99j6gL+uxpH4
sPXo7ne573otX2d89JDqk0n/Y7U7hkVi7ZaRHqdMVP68nT3sj1DezrHVMUCkwBEi2PqyxXGrR4zr
9fVvn5Gl3tSeigD9TcziAA3Vl9VXul5bfaTrxahueVNS0Ly4AF3NSTIcXK/G8OQuBe3QBKhhzfvq
Y/0YrRc+CeNl2+hPVKWnqnTUhgDxIDov6xy24kM06xHsenO9BpSBge2QMZteb4cEMdmJqj2ADHFy
mvqzEeLkqVMwVxP30NgpH7l7SwxLvnpYwOkE3Ntq/tK10TGfl+nZwqQwy/w5SL2jJ6NPMpIFGQis
LS1L6UOOW+LQ+BE9SOoyVm7zWtUOduagfKocnVCPYTUk9czpsgdpx/GSzZxI5/+i7jya27jSNfxX
pmbfrM5hMXcBIhEgIBCCIVibLggWO+fcv/4+pzkeSpQs2+PF9S2XIRCx0X3CF96wQP+AyEOlL6gb
dIH9hgCtsONwXY3mjUZFuG6x7tEinCaU0dI2RijvCxoRcyfAqxCViPBB6YkivEh6sCtAk5VZYVvQ
aIhKt26yV9WMHdIciV0sUutcA5yKgcWsN7z8nWz0c1OgA5u+/blVBT8R7bg5AIQKqpGqzQtviDZm
lz4zw09gwvOH0iEvk6TAXzcy0p4AbQforPQa6upQV1g2IvzkPQwSRVfHdu8ddoWZ77XBXtWICJUS
Gze6l1myjlTB/wtJNXOBtk3Eqgx5PQEcVrK1THdfH3zzmulZR/SzX1+XVUjIlnZ+X2rObnouLkzE
gae7Y2s3y6zHWDhjpI02bXdF3Ex/vtyQluA6jndS2eiIe5LO0HQeC/PBx70x71GrdxqUnE1moNQ6
hx5Wy3L6oKpjHE/3yogeflSOPc7Ih9fnYJwW8xb4rnDxzDeFSPFlAFfTGxvx7tePeP0zrcBGq0OQ
zCuEVWOiVz9eD2jKRbGdbvI4wblxuvt6E9uodHVmBzCoQJ0Zf5k5mLpyw2BnjsQQA0lBlZfHXp+Y
7k03aHF1+EqnXr5CAmDz+oQXDVe1CieIXvnyeF7lCKkT581ycb6m8xLmFm05V9/mkL0Z0ab+GEO8
pYnElZquA3QPnpiuq5dkyPxNd1WxJSGF8gF2J20BGVOP6WYQsHjVh/beliPOnI4F4y/hp0HvUzdd
mKtrm8BpwkR8Dyfx+piuwv9VO9WJAbK6c0/hrKRi+3W66SdH5bawzCAEe/WUUY99kDDEyQOCSHAY
L9gFKs0vUIY2SSB5S93a01TRds5RZmtVmJu9tyiZGjOSHOAZ01GN04IIWeLfQI6y0/FySGV/Pn17
bw4GPQgN7QUAbmEsYZXcfhwENLZrhhWIE3U1tdpVE+Vh3bafXtEDZRh59Xb6u4/7bLyvXBgKIVq2
6NQZSY4KP2oSdFX7Bzv6PGE5phtKvHqybgTAQ06kstp6IeYEjhy/QD0mvEdVR2gzWpxuRQy2VyAI
TH2WqnjaP16QIk1UDnMfZsXsi1f9Bz0yPTZ91yui5HuP2ZXPnvL6Ca+veX1s+pjpz9eb18N7fSws
mKyuR82solvkvn7y9GIr6YhCXo799T1+jFnRqKiL14deXiKpFlUTA8nSJofzDDmw3aCOCKKzRFBd
YHaywQoWDVsvKT5TWRIoHYpXfrae0D3Tg9nY/9TVNbR+IOLrER68NboZxiRZMNdLgN8viJ4J4TMN
2teb3rL3pRuoy3IMc3nRPYVaWG5sCztcSHQg+EYrm48pMsqAMSWg6mIfzkOLzUQRxzMdhFy27zt8
eJa2PSy8QEvWpmRVGyvNrbkNUpO0QAlQnJsB/603WlIED4DWQgt7B2gYE3wjGJQD3TknuGfLntVK
VIPe5jPYxceYozDqFS7ErEt+uwrq5LkUuNI/3w/4A2Jvf0w17v9TY8EyRf/ptyXhjn72y+d/PFTx
Nf3lq8bCyxt/bSwod4oq0wfUaBTAEZYRIfrVOhbFOAcgn0Ne+aIX99pW4B3odpn2f+xmfzWO5eN0
Q1ZEH0L9U4JwpvWdNqWtgY3lGDguTUjPfakvVYD2LRPHydaMKHQKPf8jVQFTPg12rSJVnR0A8tWL
QSvbewCsMJ6c3oRJHxKOKMqyARcaIhaXoI/QnmxosIFqXGyAioCtHu0KYxZDmVVRdE3caGdlkBUl
fWaHOz/JHirRmQ+eKDftuxBzcKProcmVM8fB3qYAU7gCq0zrzgTinD/RrVgm1N7nY9YhXu96ay+J
9zFo4nltZzShNbLyIqIKEzfyuRl3VmlTee8b6vmSvok0mLlSiJGQrCF3oBjPYO+2qfQR8jLQEF9G
i9mENFAj6g/WkaoxwIsAVF9LkSpVw2eIrbRTcJjJY1JPtVewbozXtW790lLiLh2RuFdYA5iVjsBA
soPED30AGWCk34qyOdU63x1Wc0rjn7thOErUMEbf+zwYc0ujHOqi1I7gyQzU7nvLpPYFJGUXuTB9
K86m1WO+izpuJ8e7oI53WaqvGyDgM4PSDCBCqRsOQWntpUCGjDpuM0c+OK58xkNuraXDwS0wL2Al
S5RzKVVLIyoXFVCnwIx30A6eFRwD8OL74Fb0Su3mpPrGpcEgNdlULtrUmY3jBYo6fbTDxO+qGOMW
fPnaidJdp7RHX3YfVO/BiWrURpqlrkY7doyDHg7b0OxWTgkrywk2ZSjN2jHcBbSjEBPa5ZCygZVZ
6GfXOmgrWgJq3K2MOsITHF6VKsNDMi+wcJeWNBwEcbEePsgx5UtH95+1hHFAFWqL3gqgJ2XrQk/u
UuD7IQL7EthZMC1QCvjmrMLzNO4VGrGYB9baBezXFQjgo9ctHFs55L6xzmt/E1IxVVRvI5coWHGF
IZWfmwo+yBh9Im96Njz/uaj7oziNuTSeC5tBrY8nJBwIQG9QVYj9YcTJ/WpAI7m0FaATSMmhA+xp
3dFJkQIts24Lm4QCGsr7leZseqU70DQhLgg2CbYuirHPRmOv+pzBvN8qvr72vGGLItCz7bEbyj1E
jx4/DD3aacZ4FmNyLIy1jE2JbgQb1+hvdq7ubHvRR/3J9Idjl+sXX4vQP0E+FHWusgiv03cMDTZU
g3YAbY3aBEycpvCe3coGdpb2Kw+rQMFNMvVqoXNVfGqjUYteOuOvxstD1Hjl4GI04XOJScKg1Wgr
hRt5iKmYRRuNeZ4MwdpFxwS1t3OPaHgC0KIPx0OAUFjU1csiZKxK5fsoA47cr8qiPepxcyqlZNeK
5cD+1Pvj2RmbIyLOmdcfVS5JacbXqv3ZGepN3Y1nqxjP4go28gCRPdrR+rmKEyPGo4LAoBV0cwif
52pA/g4abitU7PlJrobgnAFOztLXhsqlkYrx0FXyoVa7FV5Pap88eBoCvH45d/g9EZxX+nezrjMu
WCcunNFYB7r9CbHm0WdNcPXmPULZiAAHuyjqt+LYYo+1DGbtKVD6+3AE3xOmuzBgKWj8EZ8HHJJd
UedOsAGu4ude1xdBcAFKvlCC/kR1dikGkwPVowjUs4sjhJqca86U1lqXPkd9I5LHs6w/VJLz3sur
ZWmEGyksl5lG1pWOB6uEdmP0p0QWxi+LPOkPElpMVtitgL+yymTB1fYQ4ne8J1TDjL1eyjcf9lvg
enM8AOlMyuYe+cibY7g/pQZVWSN8rtNhqzaQKhnMkhcs6oGIytwjyJRLB4j1j0JpykQ+WujRF2NE
hcHc60Z7Ggv5kOtUfsVdY21o41b7ZIbRk5yFm7rU1oUa75JiyhhBqPoMCc60SVO2/EhR6V3TjFtQ
XKeqAsqH7UHo9lvqGDvxv4QBRVZsJOTI2DQscDXKtjCaW+X2h56xCbvvVKhMsVDPV64/0ggwcHOK
dkHFtBqVBi15eIbAp09iwUZeYu5l4TuHna0OxzNaNte6KH5SsQ9L+pPmKohp6/1N9T9XgfPg9eZe
TEmxJsCO3vsh145JVKnMMUXBcKD17EvTCDn7lJ3GwdGpMdbsif6sleujqTPnWaiQU0a9JbzWfAem
rVvY+zufUgkyCyZTLbmGTsf88B9LHxBytEtUaz/NOOjqiooiuyvpH2tJ2iupC2BG8t9Ry0R/PiS/
9Aftp1GlSevlarjppRqb00Fbx72H4Z5B6ScsrgMt4TVKR7fQo5xQwAuzwOk+Ik/Tk8aZm5Al9jHy
h3gRDHiNmAKFa6Fr7NUgZEfI5i31Px+v77iJLknfH5wsGrZDlmxrpfqoSWBwNNeuKfzCzXTTDrm3
MKil+9RA3IBkcXyI5VPf+ThPimQsMPXm5d702DAGw6rDF6GxzKfAD9XlVOl8rXlOf0oCqz3dA03B
YdPHFwmnyMVfkm/L+wBRvp+3Wv1oNch1AXwEIo2EALYsfqDdOyVumNNNNxTKJgl1rFVG0mQoUWQi
7gaJviXiCh/8gAKuV1Octp3co90f3TdxWywHOTgrloIadtJRbx9ZQhoZ7xyTNpC0GFN4OGOEtCJW
hsjaswcAervY1bNZUnzv48WA4WU41PN+VljFHOH+BYBRNN38bpFU1NiLRhLl4Kx+uWnUHjgAKg9r
uvR7ixbhkqCInARPHcjQy1jyD2mmZwvir7M9c2IDGXvstdkFFoVvX8tUsbGGae1NkDYf6UDg3hn6
C8VxZk1ooVdg9uzGsX42AfTS/urS+0QyI5Yb6FskPjMvZWCPoXqLJfy3UmNv63D3fLwmotJew/G/
kMWRqDHNw5LFgymQDs0xccajVw40ucvF4BLo6JDGYhksgIx9FouNklULe2K6Fe5siKwLVsp7I+lO
ajmcMBTZxyb9PhdYohFcAx1JXeCRVNq+COoPL+izL/WBgfC8waQRBlAxc9BhRiRUeRMldx7Ambpr
UyRKYGPDMdRz7I5wDViJhQ0xqoNubtzc2/74a5Vvo3NHtRBqpo1LP9t6iyVDzklvwi7KkPCKnovo
AWmxU2p1J9fu8Vy7H6VhWxC+9Vbxe1K432IHHRU5Iko/MI8V+61StAPPNQW7AbPXUw7Yt4IMQLok
npsJyxrxVRBW9z2IFqgpexGh/c4PF0Cmr0GAAkllWxwBaiTAAb9OSzrL6gHp5dlarckdWOKwjVlK
RU615Bgp3dHUgmuVPdT9UwCTstRZTImn/XB40UL/TTSf8o3+rs2B2KplEis64t+vDwR6owNLAxa9
GHNG3x4NAqJY2gJhfDfkxCNIaFsWaIbCuG8UUONxc6QvuEgVNr2YOBmlZfqli9z68ONTZH2LM+TI
HIrEFhgz5GvFkX+BM8xR0xjDAQdFVD5TVrit5mtPEibo930HgQtk6gL81KdpVuUVaUEMXr9TTl51
yIzwKjv9TfNZd6ao1DbGg7dSTelDHo/nmh1TC4d7cyD6IaQ0KbtZ0PJF5GM63SrCj8pn3onkQIa7
b8f9MfFDDDflw6jhdsi16JDQi7FI9v32GDblQtEvsS0vC/Zc125WKUU2KPPHYujWMQpqES1lBVSX
37pLZEURb6rAadK0TrwzTuW3aJQ/mMJee9DuLa082EpzdPPkuXAaPj68lsC62TrR9YI0bjFqZrHs
EoqTdsKpjhBaak+oiqQvhZHfHB/fGx46cDxgnopsqOqbcarGgZNkKu4TvloBJZcPQNM2CZo7IqDv
zwpWFD++7Ir2vesOPlEUC2ydOfLmujsd0o88ma49c9hWcfgeuxUz1M5h1h0r9tulrUfXoWctHfGt
lZv2RJYN8SrZaKQTcWs8KEDcK9TXs92YtEfHoQGopu+AHTIYZOLguB0O+FuQv6DjoW7RwBlnOFBw
EtmxuvRxZBluiADF53Z2vsS6yWjNtU7cK5KRmJHg+MlGUXs4oTSCrPHckswlMCEdxIWG5KNZgTJu
uhVlhRUM1F0atMug+mT7IIqUqJk7JpCDXonmqpWvgwEpk77D9CZUDGmu45MljHDVfNGUccMocncu
6OYZJYabAjCcfh1ugEDbG+9dGvXnznJPgO3vWzI/An/toiKeRx4Gtlj7uSQLzuLgKmJl+Lqr0Ij3
yVDRZR9urUoUmAZUCvwjesJClrDBh5Zz7BnhLpKTnW/rFzUzgHdvEn147KXwWVLzNZTcuY1TCBC7
q4I/tYU4n3bocw21Y2NNiwb+jX0xW+UgskwCpe2wQD1UN1AcF+lZZq7VZmTZ9TdF+tSr7JX8DqAE
e8f09p2WgVJo5paCwaIt31xb3yNm1P3O0P7Onoegsg3KDpk3eORvhvZoSVmhS1pK0RSnZTLJnsuu
nC03R9PKWKdmvk5/Z7X93qoPp4k93rYsx5ig4V8saSU9FwuhQhbbiDywIh/Ofm8n5+C/3VosEy1e
Xdx+q6ge+EVUx7KcrqGpp3S7KmpH8Xgq+2hVeM69RQXqKZKL44iG5gBBr1fkbeVHzyK4L51xC19s
gZ3ZwsGAmgLP2pHUfUS21ar6xWIhtNJ4E/q8B0mwKgw/2SZfU7TRDnEGmgIQJlmIo6Q/N556bkOW
6rKM8AgaF/mQ7IDw0hht0I4bD40bXVXES+oaVgZmyyIdtLTx7Dv6Psr1da+RCVTpzrCOY9evDfIr
cZD4NtAUMveDZp4yaiXACls7/ymnsGE7OEj2h0gLcQZuToplXLyk39pmuEOQb+dDrYIBtxVBTe0H
O3lEksAoHxke29F7Z7tUXCrKFGopXAN1kJs4tikNwCrXTxcYzlCdUINng+1CGkiFgmjX9tFGVZ1Z
zJVEbWstyhni62RE5VDpNS6p2ZxgQiyiwrrIqQwYtUY9Jr6XOBYX0oxYwXXSxN9ZRuXvBDgMMUe3
ScZk1NPehHSpmtc9XeF0rcRsn2jT3WdFiLRlTbpWWrpJww7DKowg7hWfayT1waqD3Yme43uIWzHa
Ru2+JLtsyUgb3dw3ur2p6rNBOwiOzlpkjG17qJL+6EveY2Wrj4Ud/uwIxFZK/5VmMn39D4MdXUNk
hNiyOKUo3j7oAUql1BtTAxFmJF7DgspDy8wnCBZBRVP2x8Y19mJVLcb2lrmYZsvVNnC7G0pd14TF
zNKynQ4tMkfzU9Kh9Vv9SqGmQdEQptPRsduj0jRzBB2XSfZR5MZWFG5KCfGUsV7m1GQgJa8Sg2iH
sg8t2HPhywfyyh4dZY0anYjGcC2ce+SQmMnuU5xylWajl9Uxabvb0PQrEQQZlaiUAEAN+5mJyZ7p
ooaWdWfT4BcjSbGzNfcppzJY258iXDRIGer5jy+0aoDMfxtK2sSxbJWw4MAtvFnHCl3DOU1v0nXt
G+ekjDFUitmnQGc3i07mrMTJzu3w+6B+FqF75mr6uiTyyAcKL1Q4VUasVhlCEXue4sQjot2IsmYp
Y+dBUAQI26SQomflTAQuNoVSix401Y00si8tCl1dEW7E3O2CHXIaq6o1V2CQrI58KAbBiD/jDbzI
3qftr1PcwzEIcFa8MxL5LBbAkKsfQlUGkos8prFAIK0Kkx3q7jjUdkeP6IONPSvGm+iYWSmnNRSS
+uMCtOUu1cjH0d3q42GbWExgMZk8LbqK36yN8nlU5HM4wtlqSG2iT5IV7wadtI/3RgHEUow+VZNl
ENSFiDigCGxrxl9F5opFZlPE+xpugOFeqAcK1JB9ERUKr8U71/fZ9/R9PibPohxit/27lBD5l6xw
Vi3KHUqdofD2XMbhsu6SHWYIyPeOmEbLsPeEbAKywyn+hP0ekCS5IfHVaKTXEfnzqhtwT3WRmNG7
dOYXCvZszrIi3Q2jeDMgPIn2+i6PqcSG1h6k67UZrL2oWkPzuBfVpqHwloAlFqIIRxJ0Ez/a0Qgd
IuVQSMFGtqimhc1RbLUBgxQK197D81X8navDVm6gvscbVAp3KeXktjcxKQU+4SMYGeB+DnJvuK9j
fS2WQVFZy0jc9Lp9p3SLKYkdmpM9dDclC9+PFGeURn4vbcTy11Akl91wh2DWCm2Uqx6EOyVtyPr8
qw6fo5QMlkqqr0kLWghBxSXOpYZhXESlLUl5AdMolY0LeykKgKzjhHm5DxvRfBSRixIPZ/CcFzRD
FoidL5RovLU+ew7bepsmgCzCje9QR3TKJaD5e8+i4YnuP7W2uo4pL2L+m60JMzd5PmynAU/TQ8Rz
Afth33E+WUZ0qgJ6ikAy21GcW3sHfAs1xHs16R7ELpDqNamcsW+rFum/G55A0UwMOFF9Ddnd8p4g
virAUPQJLQjKC5XVnuORDo8/sqUVrMIj3vEFVWfWRVEnHHP384+XD0X7hnJji7TPMBxZeCdpUzjx
RUwSDxruJDomh5U13NKKE4mUqub+RJ2Lgkej+zORFdpN8kgZkx5NN4uYSKL2LAZW5WNnY9cE47VD
iTjr4mMcGdP6OX2ApX5Ch/fWlsEzmIxbaONFZyB7qwbvncjBK8PGPhuOwyP1oG5RPUVAd2dyFtz3
AVANvWXxT0sJzliM0FTfDGutQP1Ha5pDYpEteyqgeyMndrXHXZoFF0VUkcyRadKbSblU1OKal44/
9+hwzyyqC2VGLbTOqG3KGq7WMJ3pm5k+toVqtupCfHupcof1cHbQum7bZ7nU8nvoIc9ifUEJD+gv
7oC5jFivuTf1ertQWZzEmvPeQ21YLiDvl/5VtgkH2u6syVCHQn1dY2nsK5sWgyKxmcZBzTqMhqlZ
z4uOmEtsgE28A9O0FPOvspz3iva+pa8Ro30pPk3EK54qctRgE73DKWWR0RMQoyKy4B3xIQ71/pLy
skjRkaIT9J+NCPl1uLxYI6+NbLhhPYVO13hGGjCg+LRclznhCIqw8mNQWNAphm7VglQ203wBk+Q5
rpuTBuRITOja+jUG/1M8vL9z3/3fP0Tw7RZpHdTDU/O5HI6fqyauq1+NysSzhyxI61P2373oxx/0
j8/TN5+G/PO//nlFvyGdU7Avg1v9ZUOefIJE4KtG/nRM0wH/6CPiK7+r+YXP1pU7w4IYQRnOMFQL
cuo//xFnqffvpyVLvbMoFdmiJy++6YuT81s//8e/7OU8/vg1Pzr0lxPz8Mu//knd6hscw3/x88Eu
kDGhw2npkB3f/nxOD15uIn3jLAlswv/RWbjhNlWLUegFWfrlGCDn+2ND4M0nvA4BCJ3YcRkGsAxN
MXQqk18PAce5kxXwFJROKcjBASap/nuNBJz/VFKdvzYR9DvZMlT+Q8PZYH98OxLUO1PQZE0bjzcq
CALu8vc6C6pG1vdXz4J2h1S9CeWXgSAu9puxYInlgrqxYP+K4u3f6wxQzNbJhP7aODDuNJ2FhZlA
7fPbBdF07sA8Kbps6ZaMDpsgTf+9zgKM7W8sP//0uqjeORo0Va6yauDi6bydDcadSRcDQ0bqHFj4
KX+7NUF9YcH/tbEgg2MzTcdy8P1F+0CM+K82R+uO1YBqoiXTsfhb7pEy3MK/OiPUO8VShXMkW6Fh
TOv/V2dBuTP5/TK9LVM0uMRY+dvNCOUvr4zynWiTEgLgOvQie/D1WEBnwRI+uYZF5QX890tk9ofi
pT/wIgJP8apb/Pla/s//AgAA//8=</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svg"/><Relationship Id="rId26" Type="http://schemas.openxmlformats.org/officeDocument/2006/relationships/chart" Target="../charts/chart2.xml"/><Relationship Id="rId3" Type="http://schemas.openxmlformats.org/officeDocument/2006/relationships/image" Target="../media/image3.svg"/><Relationship Id="rId21" Type="http://schemas.openxmlformats.org/officeDocument/2006/relationships/image" Target="../media/image21.png"/><Relationship Id="rId7" Type="http://schemas.openxmlformats.org/officeDocument/2006/relationships/image" Target="../media/image7.svg"/><Relationship Id="rId12" Type="http://schemas.openxmlformats.org/officeDocument/2006/relationships/image" Target="../media/image12.svg"/><Relationship Id="rId17" Type="http://schemas.openxmlformats.org/officeDocument/2006/relationships/image" Target="../media/image17.png"/><Relationship Id="rId25" Type="http://schemas.openxmlformats.org/officeDocument/2006/relationships/chart" Target="../charts/chart1.xml"/><Relationship Id="rId33" Type="http://schemas.openxmlformats.org/officeDocument/2006/relationships/image" Target="../media/image28.svg"/><Relationship Id="rId2" Type="http://schemas.openxmlformats.org/officeDocument/2006/relationships/image" Target="../media/image2.png"/><Relationship Id="rId16" Type="http://schemas.openxmlformats.org/officeDocument/2006/relationships/image" Target="../media/image16.svg"/><Relationship Id="rId20" Type="http://schemas.openxmlformats.org/officeDocument/2006/relationships/image" Target="../media/image20.svg"/><Relationship Id="rId29" Type="http://schemas.openxmlformats.org/officeDocument/2006/relationships/chart" Target="../charts/chart5.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svg"/><Relationship Id="rId32" Type="http://schemas.openxmlformats.org/officeDocument/2006/relationships/image" Target="../media/image27.png"/><Relationship Id="rId5" Type="http://schemas.openxmlformats.org/officeDocument/2006/relationships/image" Target="../media/image5.sv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chart" Target="../charts/chart4.xml"/><Relationship Id="rId10" Type="http://schemas.openxmlformats.org/officeDocument/2006/relationships/image" Target="../media/image10.svg"/><Relationship Id="rId19" Type="http://schemas.openxmlformats.org/officeDocument/2006/relationships/image" Target="../media/image19.png"/><Relationship Id="rId31" Type="http://schemas.openxmlformats.org/officeDocument/2006/relationships/image" Target="../media/image26.sv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22.svg"/><Relationship Id="rId27" Type="http://schemas.openxmlformats.org/officeDocument/2006/relationships/chart" Target="../charts/chart3.xml"/><Relationship Id="rId30" Type="http://schemas.openxmlformats.org/officeDocument/2006/relationships/image" Target="../media/image25.png"/><Relationship Id="rId8" Type="http://schemas.openxmlformats.org/officeDocument/2006/relationships/image" Target="../media/image8.svg"/></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microsoft.com/office/2014/relationships/chartEx" Target="../charts/chartEx1.xml"/><Relationship Id="rId1" Type="http://schemas.openxmlformats.org/officeDocument/2006/relationships/chart" Target="../charts/chart6.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24</xdr:col>
      <xdr:colOff>342900</xdr:colOff>
      <xdr:row>35</xdr:row>
      <xdr:rowOff>133350</xdr:rowOff>
    </xdr:to>
    <xdr:sp macro="[0]!Rectangle1_Click" textlink="">
      <xdr:nvSpPr>
        <xdr:cNvPr id="2" name="Rectangle 1">
          <a:extLst>
            <a:ext uri="{FF2B5EF4-FFF2-40B4-BE49-F238E27FC236}">
              <a16:creationId xmlns:a16="http://schemas.microsoft.com/office/drawing/2014/main" id="{885937D4-E987-4525-BDA1-9586014C443A}"/>
            </a:ext>
          </a:extLst>
        </xdr:cNvPr>
        <xdr:cNvSpPr/>
      </xdr:nvSpPr>
      <xdr:spPr>
        <a:xfrm>
          <a:off x="0" y="0"/>
          <a:ext cx="14973300" cy="6467475"/>
        </a:xfrm>
        <a:prstGeom prst="rect">
          <a:avLst/>
        </a:prstGeom>
        <a:blipFill dpi="0" rotWithShape="1">
          <a:blip xmlns:r="http://schemas.openxmlformats.org/officeDocument/2006/relationships" r:embed="rId1"/>
          <a:srcRect/>
          <a:stretch>
            <a:fillRect/>
          </a:stretch>
        </a:bli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24</xdr:col>
      <xdr:colOff>330200</xdr:colOff>
      <xdr:row>24</xdr:row>
      <xdr:rowOff>71120</xdr:rowOff>
    </xdr:to>
    <xdr:grpSp>
      <xdr:nvGrpSpPr>
        <xdr:cNvPr id="49" name="Dashboard_Theme_1" hidden="1">
          <a:extLst>
            <a:ext uri="{FF2B5EF4-FFF2-40B4-BE49-F238E27FC236}">
              <a16:creationId xmlns:a16="http://schemas.microsoft.com/office/drawing/2014/main" id="{0A60FE3B-A9A5-4203-99AE-7FBBDA518D37}"/>
            </a:ext>
          </a:extLst>
        </xdr:cNvPr>
        <xdr:cNvGrpSpPr/>
      </xdr:nvGrpSpPr>
      <xdr:grpSpPr>
        <a:xfrm>
          <a:off x="0" y="0"/>
          <a:ext cx="14960600" cy="4460240"/>
          <a:chOff x="12700" y="5080"/>
          <a:chExt cx="14960600" cy="4414520"/>
        </a:xfrm>
      </xdr:grpSpPr>
      <xdr:sp macro="" textlink="">
        <xdr:nvSpPr>
          <xdr:cNvPr id="4" name="Dashboard_Header_1" hidden="1">
            <a:extLst>
              <a:ext uri="{FF2B5EF4-FFF2-40B4-BE49-F238E27FC236}">
                <a16:creationId xmlns:a16="http://schemas.microsoft.com/office/drawing/2014/main" id="{3D767EA5-4D2C-4075-960A-675C93C734F8}"/>
              </a:ext>
            </a:extLst>
          </xdr:cNvPr>
          <xdr:cNvSpPr/>
        </xdr:nvSpPr>
        <xdr:spPr>
          <a:xfrm>
            <a:off x="12700" y="5080"/>
            <a:ext cx="14960600" cy="659765"/>
          </a:xfrm>
          <a:prstGeom prst="rect">
            <a:avLst/>
          </a:prstGeom>
          <a:gradFill>
            <a:gsLst>
              <a:gs pos="5000">
                <a:schemeClr val="tx1">
                  <a:alpha val="80000"/>
                </a:schemeClr>
              </a:gs>
              <a:gs pos="60000">
                <a:srgbClr val="9966FF">
                  <a:alpha val="80000"/>
                </a:srgbClr>
              </a:gs>
            </a:gsLst>
            <a:lin ang="0" scaled="0"/>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Times New Roman" panose="02020603050405020304" pitchFamily="18" charset="0"/>
              <a:cs typeface="Times New Roman" panose="02020603050405020304" pitchFamily="18" charset="0"/>
            </a:endParaRPr>
          </a:p>
        </xdr:txBody>
      </xdr:sp>
      <xdr:sp macro="" textlink="">
        <xdr:nvSpPr>
          <xdr:cNvPr id="95" name="Dashboard_Layout_1" hidden="1">
            <a:extLst>
              <a:ext uri="{FF2B5EF4-FFF2-40B4-BE49-F238E27FC236}">
                <a16:creationId xmlns:a16="http://schemas.microsoft.com/office/drawing/2014/main" id="{FD9991DA-849B-49D7-816E-8299E423745B}"/>
              </a:ext>
            </a:extLst>
          </xdr:cNvPr>
          <xdr:cNvSpPr/>
        </xdr:nvSpPr>
        <xdr:spPr>
          <a:xfrm>
            <a:off x="617220" y="830580"/>
            <a:ext cx="11323320" cy="3589020"/>
          </a:xfrm>
          <a:custGeom>
            <a:avLst/>
            <a:gdLst>
              <a:gd name="connsiteX0" fmla="*/ 4591050 w 16190258"/>
              <a:gd name="connsiteY0" fmla="*/ 3872753 h 8148917"/>
              <a:gd name="connsiteX1" fmla="*/ 11142005 w 16190258"/>
              <a:gd name="connsiteY1" fmla="*/ 3872753 h 8148917"/>
              <a:gd name="connsiteX2" fmla="*/ 11142005 w 16190258"/>
              <a:gd name="connsiteY2" fmla="*/ 4861102 h 8148917"/>
              <a:gd name="connsiteX3" fmla="*/ 11142006 w 16190258"/>
              <a:gd name="connsiteY3" fmla="*/ 4861102 h 8148917"/>
              <a:gd name="connsiteX4" fmla="*/ 11142006 w 16190258"/>
              <a:gd name="connsiteY4" fmla="*/ 8148917 h 8148917"/>
              <a:gd name="connsiteX5" fmla="*/ 4591050 w 16190258"/>
              <a:gd name="connsiteY5" fmla="*/ 8148917 h 8148917"/>
              <a:gd name="connsiteX6" fmla="*/ 0 w 16190258"/>
              <a:gd name="connsiteY6" fmla="*/ 3872753 h 8148917"/>
              <a:gd name="connsiteX7" fmla="*/ 4284007 w 16190258"/>
              <a:gd name="connsiteY7" fmla="*/ 3872753 h 8148917"/>
              <a:gd name="connsiteX8" fmla="*/ 4284007 w 16190258"/>
              <a:gd name="connsiteY8" fmla="*/ 8148917 h 8148917"/>
              <a:gd name="connsiteX9" fmla="*/ 0 w 16190258"/>
              <a:gd name="connsiteY9" fmla="*/ 8148917 h 8148917"/>
              <a:gd name="connsiteX10" fmla="*/ 11449048 w 16190258"/>
              <a:gd name="connsiteY10" fmla="*/ 0 h 8148917"/>
              <a:gd name="connsiteX11" fmla="*/ 16190258 w 16190258"/>
              <a:gd name="connsiteY11" fmla="*/ 0 h 8148917"/>
              <a:gd name="connsiteX12" fmla="*/ 16190258 w 16190258"/>
              <a:gd name="connsiteY12" fmla="*/ 8148917 h 8148917"/>
              <a:gd name="connsiteX13" fmla="*/ 11449049 w 16190258"/>
              <a:gd name="connsiteY13" fmla="*/ 8148917 h 8148917"/>
              <a:gd name="connsiteX14" fmla="*/ 11449049 w 16190258"/>
              <a:gd name="connsiteY14" fmla="*/ 3617258 h 8148917"/>
              <a:gd name="connsiteX15" fmla="*/ 11449048 w 16190258"/>
              <a:gd name="connsiteY15" fmla="*/ 3617258 h 8148917"/>
              <a:gd name="connsiteX16" fmla="*/ 0 w 16190258"/>
              <a:gd name="connsiteY16" fmla="*/ 0 h 8148917"/>
              <a:gd name="connsiteX17" fmla="*/ 11142005 w 16190258"/>
              <a:gd name="connsiteY17" fmla="*/ 0 h 8148917"/>
              <a:gd name="connsiteX18" fmla="*/ 11142005 w 16190258"/>
              <a:gd name="connsiteY18" fmla="*/ 3617258 h 8148917"/>
              <a:gd name="connsiteX19" fmla="*/ 0 w 16190258"/>
              <a:gd name="connsiteY19" fmla="*/ 3617258 h 8148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16190258" h="8148917">
                <a:moveTo>
                  <a:pt x="4591050" y="3872753"/>
                </a:moveTo>
                <a:lnTo>
                  <a:pt x="11142005" y="3872753"/>
                </a:lnTo>
                <a:lnTo>
                  <a:pt x="11142005" y="4861102"/>
                </a:lnTo>
                <a:lnTo>
                  <a:pt x="11142006" y="4861102"/>
                </a:lnTo>
                <a:lnTo>
                  <a:pt x="11142006" y="8148917"/>
                </a:lnTo>
                <a:lnTo>
                  <a:pt x="4591050" y="8148917"/>
                </a:lnTo>
                <a:close/>
                <a:moveTo>
                  <a:pt x="0" y="3872753"/>
                </a:moveTo>
                <a:lnTo>
                  <a:pt x="4284007" y="3872753"/>
                </a:lnTo>
                <a:lnTo>
                  <a:pt x="4284007" y="8148917"/>
                </a:lnTo>
                <a:lnTo>
                  <a:pt x="0" y="8148917"/>
                </a:lnTo>
                <a:close/>
                <a:moveTo>
                  <a:pt x="11449048" y="0"/>
                </a:moveTo>
                <a:lnTo>
                  <a:pt x="16190258" y="0"/>
                </a:lnTo>
                <a:lnTo>
                  <a:pt x="16190258" y="8148917"/>
                </a:lnTo>
                <a:lnTo>
                  <a:pt x="11449049" y="8148917"/>
                </a:lnTo>
                <a:lnTo>
                  <a:pt x="11449049" y="3617258"/>
                </a:lnTo>
                <a:lnTo>
                  <a:pt x="11449048" y="3617258"/>
                </a:lnTo>
                <a:close/>
                <a:moveTo>
                  <a:pt x="0" y="0"/>
                </a:moveTo>
                <a:lnTo>
                  <a:pt x="11142005" y="0"/>
                </a:lnTo>
                <a:lnTo>
                  <a:pt x="11142005" y="3617258"/>
                </a:lnTo>
                <a:lnTo>
                  <a:pt x="0" y="3617258"/>
                </a:lnTo>
                <a:close/>
              </a:path>
            </a:pathLst>
          </a:custGeom>
          <a:gradFill>
            <a:gsLst>
              <a:gs pos="0">
                <a:schemeClr val="tx1">
                  <a:alpha val="80000"/>
                </a:schemeClr>
              </a:gs>
              <a:gs pos="100000">
                <a:srgbClr val="9966FF">
                  <a:alpha val="80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Times New Roman" panose="02020603050405020304" pitchFamily="18" charset="0"/>
              <a:cs typeface="Times New Roman" panose="02020603050405020304" pitchFamily="18" charset="0"/>
            </a:endParaRPr>
          </a:p>
        </xdr:txBody>
      </xdr:sp>
    </xdr:grpSp>
    <xdr:clientData/>
  </xdr:twoCellAnchor>
  <xdr:twoCellAnchor>
    <xdr:from>
      <xdr:col>0</xdr:col>
      <xdr:colOff>0</xdr:colOff>
      <xdr:row>0</xdr:row>
      <xdr:rowOff>0</xdr:rowOff>
    </xdr:from>
    <xdr:to>
      <xdr:col>24</xdr:col>
      <xdr:colOff>330200</xdr:colOff>
      <xdr:row>24</xdr:row>
      <xdr:rowOff>71120</xdr:rowOff>
    </xdr:to>
    <xdr:grpSp>
      <xdr:nvGrpSpPr>
        <xdr:cNvPr id="96" name="Dashboard_Theme_2" hidden="1">
          <a:extLst>
            <a:ext uri="{FF2B5EF4-FFF2-40B4-BE49-F238E27FC236}">
              <a16:creationId xmlns:a16="http://schemas.microsoft.com/office/drawing/2014/main" id="{6DB12E50-90FD-48A5-A353-385AC28161A2}"/>
            </a:ext>
          </a:extLst>
        </xdr:cNvPr>
        <xdr:cNvGrpSpPr/>
      </xdr:nvGrpSpPr>
      <xdr:grpSpPr>
        <a:xfrm>
          <a:off x="0" y="0"/>
          <a:ext cx="14960600" cy="4460240"/>
          <a:chOff x="12700" y="5080"/>
          <a:chExt cx="14960600" cy="4414520"/>
        </a:xfrm>
      </xdr:grpSpPr>
      <xdr:sp macro="" textlink="">
        <xdr:nvSpPr>
          <xdr:cNvPr id="97" name="Dashboard_Header_2" hidden="1">
            <a:extLst>
              <a:ext uri="{FF2B5EF4-FFF2-40B4-BE49-F238E27FC236}">
                <a16:creationId xmlns:a16="http://schemas.microsoft.com/office/drawing/2014/main" id="{9C802F4E-CFDE-4BC5-B98E-04389347B4AA}"/>
              </a:ext>
            </a:extLst>
          </xdr:cNvPr>
          <xdr:cNvSpPr/>
        </xdr:nvSpPr>
        <xdr:spPr>
          <a:xfrm>
            <a:off x="12700" y="5080"/>
            <a:ext cx="14960600" cy="659765"/>
          </a:xfrm>
          <a:prstGeom prst="rect">
            <a:avLst/>
          </a:prstGeom>
          <a:gradFill>
            <a:gsLst>
              <a:gs pos="0">
                <a:srgbClr val="002060"/>
              </a:gs>
              <a:gs pos="60000">
                <a:srgbClr val="33CCCC">
                  <a:alpha val="80000"/>
                </a:srgbClr>
              </a:gs>
            </a:gsLst>
            <a:lin ang="0" scaled="0"/>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8" name="Dashboard_Layout_2" hidden="1">
            <a:extLst>
              <a:ext uri="{FF2B5EF4-FFF2-40B4-BE49-F238E27FC236}">
                <a16:creationId xmlns:a16="http://schemas.microsoft.com/office/drawing/2014/main" id="{C78E46AA-EE25-4D3B-93B3-53D7FF1A3492}"/>
              </a:ext>
            </a:extLst>
          </xdr:cNvPr>
          <xdr:cNvSpPr/>
        </xdr:nvSpPr>
        <xdr:spPr>
          <a:xfrm>
            <a:off x="617220" y="830580"/>
            <a:ext cx="11323320" cy="3589020"/>
          </a:xfrm>
          <a:custGeom>
            <a:avLst/>
            <a:gdLst>
              <a:gd name="connsiteX0" fmla="*/ 4591050 w 16190258"/>
              <a:gd name="connsiteY0" fmla="*/ 3872753 h 8148917"/>
              <a:gd name="connsiteX1" fmla="*/ 11142005 w 16190258"/>
              <a:gd name="connsiteY1" fmla="*/ 3872753 h 8148917"/>
              <a:gd name="connsiteX2" fmla="*/ 11142005 w 16190258"/>
              <a:gd name="connsiteY2" fmla="*/ 4861102 h 8148917"/>
              <a:gd name="connsiteX3" fmla="*/ 11142006 w 16190258"/>
              <a:gd name="connsiteY3" fmla="*/ 4861102 h 8148917"/>
              <a:gd name="connsiteX4" fmla="*/ 11142006 w 16190258"/>
              <a:gd name="connsiteY4" fmla="*/ 8148917 h 8148917"/>
              <a:gd name="connsiteX5" fmla="*/ 4591050 w 16190258"/>
              <a:gd name="connsiteY5" fmla="*/ 8148917 h 8148917"/>
              <a:gd name="connsiteX6" fmla="*/ 0 w 16190258"/>
              <a:gd name="connsiteY6" fmla="*/ 3872753 h 8148917"/>
              <a:gd name="connsiteX7" fmla="*/ 4284007 w 16190258"/>
              <a:gd name="connsiteY7" fmla="*/ 3872753 h 8148917"/>
              <a:gd name="connsiteX8" fmla="*/ 4284007 w 16190258"/>
              <a:gd name="connsiteY8" fmla="*/ 8148917 h 8148917"/>
              <a:gd name="connsiteX9" fmla="*/ 0 w 16190258"/>
              <a:gd name="connsiteY9" fmla="*/ 8148917 h 8148917"/>
              <a:gd name="connsiteX10" fmla="*/ 11449048 w 16190258"/>
              <a:gd name="connsiteY10" fmla="*/ 0 h 8148917"/>
              <a:gd name="connsiteX11" fmla="*/ 16190258 w 16190258"/>
              <a:gd name="connsiteY11" fmla="*/ 0 h 8148917"/>
              <a:gd name="connsiteX12" fmla="*/ 16190258 w 16190258"/>
              <a:gd name="connsiteY12" fmla="*/ 8148917 h 8148917"/>
              <a:gd name="connsiteX13" fmla="*/ 11449049 w 16190258"/>
              <a:gd name="connsiteY13" fmla="*/ 8148917 h 8148917"/>
              <a:gd name="connsiteX14" fmla="*/ 11449049 w 16190258"/>
              <a:gd name="connsiteY14" fmla="*/ 3617258 h 8148917"/>
              <a:gd name="connsiteX15" fmla="*/ 11449048 w 16190258"/>
              <a:gd name="connsiteY15" fmla="*/ 3617258 h 8148917"/>
              <a:gd name="connsiteX16" fmla="*/ 0 w 16190258"/>
              <a:gd name="connsiteY16" fmla="*/ 0 h 8148917"/>
              <a:gd name="connsiteX17" fmla="*/ 11142005 w 16190258"/>
              <a:gd name="connsiteY17" fmla="*/ 0 h 8148917"/>
              <a:gd name="connsiteX18" fmla="*/ 11142005 w 16190258"/>
              <a:gd name="connsiteY18" fmla="*/ 3617258 h 8148917"/>
              <a:gd name="connsiteX19" fmla="*/ 0 w 16190258"/>
              <a:gd name="connsiteY19" fmla="*/ 3617258 h 8148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16190258" h="8148917">
                <a:moveTo>
                  <a:pt x="4591050" y="3872753"/>
                </a:moveTo>
                <a:lnTo>
                  <a:pt x="11142005" y="3872753"/>
                </a:lnTo>
                <a:lnTo>
                  <a:pt x="11142005" y="4861102"/>
                </a:lnTo>
                <a:lnTo>
                  <a:pt x="11142006" y="4861102"/>
                </a:lnTo>
                <a:lnTo>
                  <a:pt x="11142006" y="8148917"/>
                </a:lnTo>
                <a:lnTo>
                  <a:pt x="4591050" y="8148917"/>
                </a:lnTo>
                <a:close/>
                <a:moveTo>
                  <a:pt x="0" y="3872753"/>
                </a:moveTo>
                <a:lnTo>
                  <a:pt x="4284007" y="3872753"/>
                </a:lnTo>
                <a:lnTo>
                  <a:pt x="4284007" y="8148917"/>
                </a:lnTo>
                <a:lnTo>
                  <a:pt x="0" y="8148917"/>
                </a:lnTo>
                <a:close/>
                <a:moveTo>
                  <a:pt x="11449048" y="0"/>
                </a:moveTo>
                <a:lnTo>
                  <a:pt x="16190258" y="0"/>
                </a:lnTo>
                <a:lnTo>
                  <a:pt x="16190258" y="8148917"/>
                </a:lnTo>
                <a:lnTo>
                  <a:pt x="11449049" y="8148917"/>
                </a:lnTo>
                <a:lnTo>
                  <a:pt x="11449049" y="3617258"/>
                </a:lnTo>
                <a:lnTo>
                  <a:pt x="11449048" y="3617258"/>
                </a:lnTo>
                <a:close/>
                <a:moveTo>
                  <a:pt x="0" y="0"/>
                </a:moveTo>
                <a:lnTo>
                  <a:pt x="11142005" y="0"/>
                </a:lnTo>
                <a:lnTo>
                  <a:pt x="11142005" y="3617258"/>
                </a:lnTo>
                <a:lnTo>
                  <a:pt x="0" y="3617258"/>
                </a:lnTo>
                <a:close/>
              </a:path>
            </a:pathLst>
          </a:custGeom>
          <a:gradFill flip="none" rotWithShape="1">
            <a:gsLst>
              <a:gs pos="10000">
                <a:srgbClr val="002060"/>
              </a:gs>
              <a:gs pos="100000">
                <a:srgbClr val="33CCCC">
                  <a:alpha val="80000"/>
                </a:srgbClr>
              </a:gs>
            </a:gsLst>
            <a:lin ang="189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0</xdr:col>
      <xdr:colOff>28575</xdr:colOff>
      <xdr:row>0</xdr:row>
      <xdr:rowOff>19050</xdr:rowOff>
    </xdr:from>
    <xdr:to>
      <xdr:col>24</xdr:col>
      <xdr:colOff>358775</xdr:colOff>
      <xdr:row>24</xdr:row>
      <xdr:rowOff>71120</xdr:rowOff>
    </xdr:to>
    <xdr:grpSp>
      <xdr:nvGrpSpPr>
        <xdr:cNvPr id="99" name="Dashboard_Theme_3" hidden="1">
          <a:extLst>
            <a:ext uri="{FF2B5EF4-FFF2-40B4-BE49-F238E27FC236}">
              <a16:creationId xmlns:a16="http://schemas.microsoft.com/office/drawing/2014/main" id="{9CFCA166-0BCB-4F8C-8257-1AE90A750E0D}"/>
            </a:ext>
          </a:extLst>
        </xdr:cNvPr>
        <xdr:cNvGrpSpPr/>
      </xdr:nvGrpSpPr>
      <xdr:grpSpPr>
        <a:xfrm>
          <a:off x="28575" y="19050"/>
          <a:ext cx="14960600" cy="4441190"/>
          <a:chOff x="41275" y="24130"/>
          <a:chExt cx="14960600" cy="4395470"/>
        </a:xfrm>
      </xdr:grpSpPr>
      <xdr:sp macro="" textlink="">
        <xdr:nvSpPr>
          <xdr:cNvPr id="100" name="Dashboard_Header_3" hidden="1">
            <a:extLst>
              <a:ext uri="{FF2B5EF4-FFF2-40B4-BE49-F238E27FC236}">
                <a16:creationId xmlns:a16="http://schemas.microsoft.com/office/drawing/2014/main" id="{FBE530DF-1E6A-4E5D-8D84-732A34F35259}"/>
              </a:ext>
            </a:extLst>
          </xdr:cNvPr>
          <xdr:cNvSpPr/>
        </xdr:nvSpPr>
        <xdr:spPr>
          <a:xfrm>
            <a:off x="41275" y="24130"/>
            <a:ext cx="14960600" cy="659765"/>
          </a:xfrm>
          <a:prstGeom prst="rect">
            <a:avLst/>
          </a:prstGeom>
          <a:gradFill>
            <a:gsLst>
              <a:gs pos="5000">
                <a:schemeClr val="tx1">
                  <a:alpha val="80000"/>
                </a:schemeClr>
              </a:gs>
              <a:gs pos="80000">
                <a:schemeClr val="tx1"/>
              </a:gs>
              <a:gs pos="40000">
                <a:srgbClr val="FF66CC">
                  <a:alpha val="80000"/>
                </a:srgbClr>
              </a:gs>
            </a:gsLst>
            <a:lin ang="0" scaled="0"/>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1" name="Dashboard_Layout_3" hidden="1">
            <a:extLst>
              <a:ext uri="{FF2B5EF4-FFF2-40B4-BE49-F238E27FC236}">
                <a16:creationId xmlns:a16="http://schemas.microsoft.com/office/drawing/2014/main" id="{9F7132E0-040F-4E66-BB89-512909020C4A}"/>
              </a:ext>
            </a:extLst>
          </xdr:cNvPr>
          <xdr:cNvSpPr/>
        </xdr:nvSpPr>
        <xdr:spPr>
          <a:xfrm>
            <a:off x="617220" y="830580"/>
            <a:ext cx="11323320" cy="3589020"/>
          </a:xfrm>
          <a:custGeom>
            <a:avLst/>
            <a:gdLst>
              <a:gd name="connsiteX0" fmla="*/ 4591050 w 16190258"/>
              <a:gd name="connsiteY0" fmla="*/ 3872753 h 8148917"/>
              <a:gd name="connsiteX1" fmla="*/ 11142005 w 16190258"/>
              <a:gd name="connsiteY1" fmla="*/ 3872753 h 8148917"/>
              <a:gd name="connsiteX2" fmla="*/ 11142005 w 16190258"/>
              <a:gd name="connsiteY2" fmla="*/ 4861102 h 8148917"/>
              <a:gd name="connsiteX3" fmla="*/ 11142006 w 16190258"/>
              <a:gd name="connsiteY3" fmla="*/ 4861102 h 8148917"/>
              <a:gd name="connsiteX4" fmla="*/ 11142006 w 16190258"/>
              <a:gd name="connsiteY4" fmla="*/ 8148917 h 8148917"/>
              <a:gd name="connsiteX5" fmla="*/ 4591050 w 16190258"/>
              <a:gd name="connsiteY5" fmla="*/ 8148917 h 8148917"/>
              <a:gd name="connsiteX6" fmla="*/ 0 w 16190258"/>
              <a:gd name="connsiteY6" fmla="*/ 3872753 h 8148917"/>
              <a:gd name="connsiteX7" fmla="*/ 4284007 w 16190258"/>
              <a:gd name="connsiteY7" fmla="*/ 3872753 h 8148917"/>
              <a:gd name="connsiteX8" fmla="*/ 4284007 w 16190258"/>
              <a:gd name="connsiteY8" fmla="*/ 8148917 h 8148917"/>
              <a:gd name="connsiteX9" fmla="*/ 0 w 16190258"/>
              <a:gd name="connsiteY9" fmla="*/ 8148917 h 8148917"/>
              <a:gd name="connsiteX10" fmla="*/ 11449048 w 16190258"/>
              <a:gd name="connsiteY10" fmla="*/ 0 h 8148917"/>
              <a:gd name="connsiteX11" fmla="*/ 16190258 w 16190258"/>
              <a:gd name="connsiteY11" fmla="*/ 0 h 8148917"/>
              <a:gd name="connsiteX12" fmla="*/ 16190258 w 16190258"/>
              <a:gd name="connsiteY12" fmla="*/ 8148917 h 8148917"/>
              <a:gd name="connsiteX13" fmla="*/ 11449049 w 16190258"/>
              <a:gd name="connsiteY13" fmla="*/ 8148917 h 8148917"/>
              <a:gd name="connsiteX14" fmla="*/ 11449049 w 16190258"/>
              <a:gd name="connsiteY14" fmla="*/ 3617258 h 8148917"/>
              <a:gd name="connsiteX15" fmla="*/ 11449048 w 16190258"/>
              <a:gd name="connsiteY15" fmla="*/ 3617258 h 8148917"/>
              <a:gd name="connsiteX16" fmla="*/ 0 w 16190258"/>
              <a:gd name="connsiteY16" fmla="*/ 0 h 8148917"/>
              <a:gd name="connsiteX17" fmla="*/ 11142005 w 16190258"/>
              <a:gd name="connsiteY17" fmla="*/ 0 h 8148917"/>
              <a:gd name="connsiteX18" fmla="*/ 11142005 w 16190258"/>
              <a:gd name="connsiteY18" fmla="*/ 3617258 h 8148917"/>
              <a:gd name="connsiteX19" fmla="*/ 0 w 16190258"/>
              <a:gd name="connsiteY19" fmla="*/ 3617258 h 8148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16190258" h="8148917">
                <a:moveTo>
                  <a:pt x="4591050" y="3872753"/>
                </a:moveTo>
                <a:lnTo>
                  <a:pt x="11142005" y="3872753"/>
                </a:lnTo>
                <a:lnTo>
                  <a:pt x="11142005" y="4861102"/>
                </a:lnTo>
                <a:lnTo>
                  <a:pt x="11142006" y="4861102"/>
                </a:lnTo>
                <a:lnTo>
                  <a:pt x="11142006" y="8148917"/>
                </a:lnTo>
                <a:lnTo>
                  <a:pt x="4591050" y="8148917"/>
                </a:lnTo>
                <a:close/>
                <a:moveTo>
                  <a:pt x="0" y="3872753"/>
                </a:moveTo>
                <a:lnTo>
                  <a:pt x="4284007" y="3872753"/>
                </a:lnTo>
                <a:lnTo>
                  <a:pt x="4284007" y="8148917"/>
                </a:lnTo>
                <a:lnTo>
                  <a:pt x="0" y="8148917"/>
                </a:lnTo>
                <a:close/>
                <a:moveTo>
                  <a:pt x="11449048" y="0"/>
                </a:moveTo>
                <a:lnTo>
                  <a:pt x="16190258" y="0"/>
                </a:lnTo>
                <a:lnTo>
                  <a:pt x="16190258" y="8148917"/>
                </a:lnTo>
                <a:lnTo>
                  <a:pt x="11449049" y="8148917"/>
                </a:lnTo>
                <a:lnTo>
                  <a:pt x="11449049" y="3617258"/>
                </a:lnTo>
                <a:lnTo>
                  <a:pt x="11449048" y="3617258"/>
                </a:lnTo>
                <a:close/>
                <a:moveTo>
                  <a:pt x="0" y="0"/>
                </a:moveTo>
                <a:lnTo>
                  <a:pt x="11142005" y="0"/>
                </a:lnTo>
                <a:lnTo>
                  <a:pt x="11142005" y="3617258"/>
                </a:lnTo>
                <a:lnTo>
                  <a:pt x="0" y="3617258"/>
                </a:lnTo>
                <a:close/>
              </a:path>
            </a:pathLst>
          </a:custGeom>
          <a:gradFill flip="none" rotWithShape="1">
            <a:gsLst>
              <a:gs pos="100000">
                <a:schemeClr val="tx1"/>
              </a:gs>
              <a:gs pos="0">
                <a:schemeClr val="tx1">
                  <a:alpha val="80000"/>
                </a:schemeClr>
              </a:gs>
              <a:gs pos="50000">
                <a:srgbClr val="FF66CC">
                  <a:alpha val="80000"/>
                </a:srgbClr>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0</xdr:col>
      <xdr:colOff>0</xdr:colOff>
      <xdr:row>0</xdr:row>
      <xdr:rowOff>0</xdr:rowOff>
    </xdr:from>
    <xdr:to>
      <xdr:col>24</xdr:col>
      <xdr:colOff>330200</xdr:colOff>
      <xdr:row>24</xdr:row>
      <xdr:rowOff>71120</xdr:rowOff>
    </xdr:to>
    <xdr:grpSp>
      <xdr:nvGrpSpPr>
        <xdr:cNvPr id="102" name="Dashboard_Theme_4">
          <a:extLst>
            <a:ext uri="{FF2B5EF4-FFF2-40B4-BE49-F238E27FC236}">
              <a16:creationId xmlns:a16="http://schemas.microsoft.com/office/drawing/2014/main" id="{F122463E-08EE-469D-A4EB-AAB2BDB28E8B}"/>
            </a:ext>
          </a:extLst>
        </xdr:cNvPr>
        <xdr:cNvGrpSpPr/>
      </xdr:nvGrpSpPr>
      <xdr:grpSpPr>
        <a:xfrm>
          <a:off x="0" y="0"/>
          <a:ext cx="14960600" cy="4460240"/>
          <a:chOff x="12700" y="5080"/>
          <a:chExt cx="14960600" cy="4414520"/>
        </a:xfrm>
      </xdr:grpSpPr>
      <xdr:sp macro="" textlink="">
        <xdr:nvSpPr>
          <xdr:cNvPr id="103" name="Dashboard_Header_4">
            <a:extLst>
              <a:ext uri="{FF2B5EF4-FFF2-40B4-BE49-F238E27FC236}">
                <a16:creationId xmlns:a16="http://schemas.microsoft.com/office/drawing/2014/main" id="{7B2B541A-D1BF-49CF-80DB-2D1B35DEAFD0}"/>
              </a:ext>
            </a:extLst>
          </xdr:cNvPr>
          <xdr:cNvSpPr/>
        </xdr:nvSpPr>
        <xdr:spPr>
          <a:xfrm>
            <a:off x="12700" y="5080"/>
            <a:ext cx="14960600" cy="659765"/>
          </a:xfrm>
          <a:prstGeom prst="rect">
            <a:avLst/>
          </a:prstGeom>
          <a:gradFill flip="none" rotWithShape="1">
            <a:gsLst>
              <a:gs pos="10000">
                <a:schemeClr val="tx1">
                  <a:alpha val="80000"/>
                </a:schemeClr>
              </a:gs>
              <a:gs pos="60000">
                <a:schemeClr val="accent3">
                  <a:alpha val="80000"/>
                </a:schemeClr>
              </a:gs>
            </a:gsLst>
            <a:lin ang="10800000" scaled="1"/>
            <a:tileRect/>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4" name="Dashboard_Layout_4">
            <a:extLst>
              <a:ext uri="{FF2B5EF4-FFF2-40B4-BE49-F238E27FC236}">
                <a16:creationId xmlns:a16="http://schemas.microsoft.com/office/drawing/2014/main" id="{F4921487-B63C-43F9-8EDF-C223BE39FF46}"/>
              </a:ext>
            </a:extLst>
          </xdr:cNvPr>
          <xdr:cNvSpPr/>
        </xdr:nvSpPr>
        <xdr:spPr>
          <a:xfrm>
            <a:off x="617220" y="830580"/>
            <a:ext cx="11323320" cy="3589020"/>
          </a:xfrm>
          <a:custGeom>
            <a:avLst/>
            <a:gdLst>
              <a:gd name="connsiteX0" fmla="*/ 4591050 w 16190258"/>
              <a:gd name="connsiteY0" fmla="*/ 3872753 h 8148917"/>
              <a:gd name="connsiteX1" fmla="*/ 11142005 w 16190258"/>
              <a:gd name="connsiteY1" fmla="*/ 3872753 h 8148917"/>
              <a:gd name="connsiteX2" fmla="*/ 11142005 w 16190258"/>
              <a:gd name="connsiteY2" fmla="*/ 4861102 h 8148917"/>
              <a:gd name="connsiteX3" fmla="*/ 11142006 w 16190258"/>
              <a:gd name="connsiteY3" fmla="*/ 4861102 h 8148917"/>
              <a:gd name="connsiteX4" fmla="*/ 11142006 w 16190258"/>
              <a:gd name="connsiteY4" fmla="*/ 8148917 h 8148917"/>
              <a:gd name="connsiteX5" fmla="*/ 4591050 w 16190258"/>
              <a:gd name="connsiteY5" fmla="*/ 8148917 h 8148917"/>
              <a:gd name="connsiteX6" fmla="*/ 0 w 16190258"/>
              <a:gd name="connsiteY6" fmla="*/ 3872753 h 8148917"/>
              <a:gd name="connsiteX7" fmla="*/ 4284007 w 16190258"/>
              <a:gd name="connsiteY7" fmla="*/ 3872753 h 8148917"/>
              <a:gd name="connsiteX8" fmla="*/ 4284007 w 16190258"/>
              <a:gd name="connsiteY8" fmla="*/ 8148917 h 8148917"/>
              <a:gd name="connsiteX9" fmla="*/ 0 w 16190258"/>
              <a:gd name="connsiteY9" fmla="*/ 8148917 h 8148917"/>
              <a:gd name="connsiteX10" fmla="*/ 11449048 w 16190258"/>
              <a:gd name="connsiteY10" fmla="*/ 0 h 8148917"/>
              <a:gd name="connsiteX11" fmla="*/ 16190258 w 16190258"/>
              <a:gd name="connsiteY11" fmla="*/ 0 h 8148917"/>
              <a:gd name="connsiteX12" fmla="*/ 16190258 w 16190258"/>
              <a:gd name="connsiteY12" fmla="*/ 8148917 h 8148917"/>
              <a:gd name="connsiteX13" fmla="*/ 11449049 w 16190258"/>
              <a:gd name="connsiteY13" fmla="*/ 8148917 h 8148917"/>
              <a:gd name="connsiteX14" fmla="*/ 11449049 w 16190258"/>
              <a:gd name="connsiteY14" fmla="*/ 3617258 h 8148917"/>
              <a:gd name="connsiteX15" fmla="*/ 11449048 w 16190258"/>
              <a:gd name="connsiteY15" fmla="*/ 3617258 h 8148917"/>
              <a:gd name="connsiteX16" fmla="*/ 0 w 16190258"/>
              <a:gd name="connsiteY16" fmla="*/ 0 h 8148917"/>
              <a:gd name="connsiteX17" fmla="*/ 11142005 w 16190258"/>
              <a:gd name="connsiteY17" fmla="*/ 0 h 8148917"/>
              <a:gd name="connsiteX18" fmla="*/ 11142005 w 16190258"/>
              <a:gd name="connsiteY18" fmla="*/ 3617258 h 8148917"/>
              <a:gd name="connsiteX19" fmla="*/ 0 w 16190258"/>
              <a:gd name="connsiteY19" fmla="*/ 3617258 h 8148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16190258" h="8148917">
                <a:moveTo>
                  <a:pt x="4591050" y="3872753"/>
                </a:moveTo>
                <a:lnTo>
                  <a:pt x="11142005" y="3872753"/>
                </a:lnTo>
                <a:lnTo>
                  <a:pt x="11142005" y="4861102"/>
                </a:lnTo>
                <a:lnTo>
                  <a:pt x="11142006" y="4861102"/>
                </a:lnTo>
                <a:lnTo>
                  <a:pt x="11142006" y="8148917"/>
                </a:lnTo>
                <a:lnTo>
                  <a:pt x="4591050" y="8148917"/>
                </a:lnTo>
                <a:close/>
                <a:moveTo>
                  <a:pt x="0" y="3872753"/>
                </a:moveTo>
                <a:lnTo>
                  <a:pt x="4284007" y="3872753"/>
                </a:lnTo>
                <a:lnTo>
                  <a:pt x="4284007" y="8148917"/>
                </a:lnTo>
                <a:lnTo>
                  <a:pt x="0" y="8148917"/>
                </a:lnTo>
                <a:close/>
                <a:moveTo>
                  <a:pt x="11449048" y="0"/>
                </a:moveTo>
                <a:lnTo>
                  <a:pt x="16190258" y="0"/>
                </a:lnTo>
                <a:lnTo>
                  <a:pt x="16190258" y="8148917"/>
                </a:lnTo>
                <a:lnTo>
                  <a:pt x="11449049" y="8148917"/>
                </a:lnTo>
                <a:lnTo>
                  <a:pt x="11449049" y="3617258"/>
                </a:lnTo>
                <a:lnTo>
                  <a:pt x="11449048" y="3617258"/>
                </a:lnTo>
                <a:close/>
                <a:moveTo>
                  <a:pt x="0" y="0"/>
                </a:moveTo>
                <a:lnTo>
                  <a:pt x="11142005" y="0"/>
                </a:lnTo>
                <a:lnTo>
                  <a:pt x="11142005" y="3617258"/>
                </a:lnTo>
                <a:lnTo>
                  <a:pt x="0" y="3617258"/>
                </a:lnTo>
                <a:close/>
              </a:path>
            </a:pathLst>
          </a:custGeom>
          <a:gradFill flip="none" rotWithShape="1">
            <a:gsLst>
              <a:gs pos="26000">
                <a:schemeClr val="tx1">
                  <a:alpha val="80000"/>
                </a:schemeClr>
              </a:gs>
              <a:gs pos="100000">
                <a:schemeClr val="accent3">
                  <a:alpha val="80000"/>
                </a:schemeClr>
              </a:gs>
            </a:gsLst>
            <a:lin ang="135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1</xdr:col>
      <xdr:colOff>32374</xdr:colOff>
      <xdr:row>25</xdr:row>
      <xdr:rowOff>5443</xdr:rowOff>
    </xdr:from>
    <xdr:to>
      <xdr:col>19</xdr:col>
      <xdr:colOff>361950</xdr:colOff>
      <xdr:row>29</xdr:row>
      <xdr:rowOff>166551</xdr:rowOff>
    </xdr:to>
    <xdr:sp macro="" textlink="">
      <xdr:nvSpPr>
        <xdr:cNvPr id="7" name="Blackbox1">
          <a:extLst>
            <a:ext uri="{FF2B5EF4-FFF2-40B4-BE49-F238E27FC236}">
              <a16:creationId xmlns:a16="http://schemas.microsoft.com/office/drawing/2014/main" id="{886EC007-F44B-4011-957C-2C97EDB47248}"/>
            </a:ext>
          </a:extLst>
        </xdr:cNvPr>
        <xdr:cNvSpPr/>
      </xdr:nvSpPr>
      <xdr:spPr>
        <a:xfrm>
          <a:off x="641974" y="4529818"/>
          <a:ext cx="11302376" cy="88500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561974</xdr:colOff>
      <xdr:row>4</xdr:row>
      <xdr:rowOff>114301</xdr:rowOff>
    </xdr:from>
    <xdr:to>
      <xdr:col>23</xdr:col>
      <xdr:colOff>9525</xdr:colOff>
      <xdr:row>29</xdr:row>
      <xdr:rowOff>167806</xdr:rowOff>
    </xdr:to>
    <xdr:sp macro="" textlink="">
      <xdr:nvSpPr>
        <xdr:cNvPr id="105" name="Blackbox2">
          <a:extLst>
            <a:ext uri="{FF2B5EF4-FFF2-40B4-BE49-F238E27FC236}">
              <a16:creationId xmlns:a16="http://schemas.microsoft.com/office/drawing/2014/main" id="{5E976C9C-E5A4-4179-BF0B-510920D9EF29}"/>
            </a:ext>
          </a:extLst>
        </xdr:cNvPr>
        <xdr:cNvSpPr/>
      </xdr:nvSpPr>
      <xdr:spPr>
        <a:xfrm>
          <a:off x="12165281" y="840539"/>
          <a:ext cx="1890352" cy="4592494"/>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350236</xdr:colOff>
      <xdr:row>25</xdr:row>
      <xdr:rowOff>84907</xdr:rowOff>
    </xdr:from>
    <xdr:to>
      <xdr:col>2</xdr:col>
      <xdr:colOff>520053</xdr:colOff>
      <xdr:row>29</xdr:row>
      <xdr:rowOff>84907</xdr:rowOff>
    </xdr:to>
    <xdr:grpSp>
      <xdr:nvGrpSpPr>
        <xdr:cNvPr id="3" name="Group 2">
          <a:extLst>
            <a:ext uri="{FF2B5EF4-FFF2-40B4-BE49-F238E27FC236}">
              <a16:creationId xmlns:a16="http://schemas.microsoft.com/office/drawing/2014/main" id="{EDEFD728-5C69-4574-B8F4-19EF8A2151CA}"/>
            </a:ext>
          </a:extLst>
        </xdr:cNvPr>
        <xdr:cNvGrpSpPr/>
      </xdr:nvGrpSpPr>
      <xdr:grpSpPr>
        <a:xfrm>
          <a:off x="959836" y="4656907"/>
          <a:ext cx="779417" cy="731520"/>
          <a:chOff x="1666602" y="4656907"/>
          <a:chExt cx="779417" cy="731520"/>
        </a:xfrm>
      </xdr:grpSpPr>
      <xdr:sp macro="[0]!AddUser" textlink="">
        <xdr:nvSpPr>
          <xdr:cNvPr id="8" name="Rectangle: Rounded Corners 7">
            <a:extLst>
              <a:ext uri="{FF2B5EF4-FFF2-40B4-BE49-F238E27FC236}">
                <a16:creationId xmlns:a16="http://schemas.microsoft.com/office/drawing/2014/main" id="{2D85E9F1-859E-4B02-B70E-01A20C9EB632}"/>
              </a:ext>
            </a:extLst>
          </xdr:cNvPr>
          <xdr:cNvSpPr/>
        </xdr:nvSpPr>
        <xdr:spPr>
          <a:xfrm>
            <a:off x="1666602" y="4656907"/>
            <a:ext cx="779417" cy="73152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solidFill>
                  <a:schemeClr val="bg1">
                    <a:lumMod val="85000"/>
                  </a:schemeClr>
                </a:solidFill>
                <a:latin typeface="Times New Roman" panose="02020603050405020304" pitchFamily="18" charset="0"/>
                <a:cs typeface="Times New Roman" panose="02020603050405020304" pitchFamily="18" charset="0"/>
              </a:rPr>
              <a:t>Add User</a:t>
            </a:r>
          </a:p>
        </xdr:txBody>
      </xdr:sp>
      <xdr:pic macro="[0]!AddUser">
        <xdr:nvPicPr>
          <xdr:cNvPr id="10" name="Graphic 9" descr="User">
            <a:extLst>
              <a:ext uri="{FF2B5EF4-FFF2-40B4-BE49-F238E27FC236}">
                <a16:creationId xmlns:a16="http://schemas.microsoft.com/office/drawing/2014/main" id="{5C197810-9A28-49FE-889D-BD1F78BBDB4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26623" y="4886799"/>
            <a:ext cx="444137" cy="450411"/>
          </a:xfrm>
          <a:prstGeom prst="rect">
            <a:avLst/>
          </a:prstGeom>
          <a:effectLst>
            <a:outerShdw blurRad="63500" sx="110000" sy="110000" algn="ctr" rotWithShape="0">
              <a:schemeClr val="bg1">
                <a:alpha val="40000"/>
              </a:schemeClr>
            </a:outerShdw>
          </a:effectLst>
        </xdr:spPr>
      </xdr:pic>
    </xdr:grpSp>
    <xdr:clientData/>
  </xdr:twoCellAnchor>
  <xdr:twoCellAnchor>
    <xdr:from>
      <xdr:col>7</xdr:col>
      <xdr:colOff>104775</xdr:colOff>
      <xdr:row>0</xdr:row>
      <xdr:rowOff>0</xdr:rowOff>
    </xdr:from>
    <xdr:to>
      <xdr:col>16</xdr:col>
      <xdr:colOff>112395</xdr:colOff>
      <xdr:row>3</xdr:row>
      <xdr:rowOff>114300</xdr:rowOff>
    </xdr:to>
    <xdr:sp macro="" textlink="">
      <xdr:nvSpPr>
        <xdr:cNvPr id="12" name="TextBox 11">
          <a:extLst>
            <a:ext uri="{FF2B5EF4-FFF2-40B4-BE49-F238E27FC236}">
              <a16:creationId xmlns:a16="http://schemas.microsoft.com/office/drawing/2014/main" id="{B888AE52-4662-4FE3-AE8F-14D562E5F45B}"/>
            </a:ext>
          </a:extLst>
        </xdr:cNvPr>
        <xdr:cNvSpPr txBox="1"/>
      </xdr:nvSpPr>
      <xdr:spPr>
        <a:xfrm>
          <a:off x="4371975" y="0"/>
          <a:ext cx="5494020" cy="657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0">
              <a:solidFill>
                <a:schemeClr val="bg1"/>
              </a:solidFill>
              <a:latin typeface="Times New Roman" panose="02020603050405020304" pitchFamily="18" charset="0"/>
              <a:cs typeface="Times New Roman" panose="02020603050405020304" pitchFamily="18" charset="0"/>
            </a:rPr>
            <a:t>License Management Dashboard</a:t>
          </a:r>
        </a:p>
      </xdr:txBody>
    </xdr:sp>
    <xdr:clientData/>
  </xdr:twoCellAnchor>
  <xdr:twoCellAnchor>
    <xdr:from>
      <xdr:col>6</xdr:col>
      <xdr:colOff>116194</xdr:colOff>
      <xdr:row>25</xdr:row>
      <xdr:rowOff>83820</xdr:rowOff>
    </xdr:from>
    <xdr:to>
      <xdr:col>8</xdr:col>
      <xdr:colOff>497194</xdr:colOff>
      <xdr:row>29</xdr:row>
      <xdr:rowOff>83820</xdr:rowOff>
    </xdr:to>
    <xdr:grpSp>
      <xdr:nvGrpSpPr>
        <xdr:cNvPr id="17" name="Group 16">
          <a:extLst>
            <a:ext uri="{FF2B5EF4-FFF2-40B4-BE49-F238E27FC236}">
              <a16:creationId xmlns:a16="http://schemas.microsoft.com/office/drawing/2014/main" id="{41997491-E13F-4815-A2D9-0E09742B8119}"/>
            </a:ext>
          </a:extLst>
        </xdr:cNvPr>
        <xdr:cNvGrpSpPr/>
      </xdr:nvGrpSpPr>
      <xdr:grpSpPr>
        <a:xfrm>
          <a:off x="3773794" y="4655820"/>
          <a:ext cx="1600200" cy="731520"/>
          <a:chOff x="2948940" y="4678680"/>
          <a:chExt cx="1981200" cy="701040"/>
        </a:xfrm>
      </xdr:grpSpPr>
      <xdr:sp macro="[0]!AddLicense" textlink="">
        <xdr:nvSpPr>
          <xdr:cNvPr id="14" name="Rectangle: Rounded Corners 13">
            <a:extLst>
              <a:ext uri="{FF2B5EF4-FFF2-40B4-BE49-F238E27FC236}">
                <a16:creationId xmlns:a16="http://schemas.microsoft.com/office/drawing/2014/main" id="{6D0FBD2D-780D-4FDA-9DF8-2EED72D1BEB0}"/>
              </a:ext>
            </a:extLst>
          </xdr:cNvPr>
          <xdr:cNvSpPr/>
        </xdr:nvSpPr>
        <xdr:spPr>
          <a:xfrm>
            <a:off x="2948940" y="4678680"/>
            <a:ext cx="1981200" cy="7010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Add New License</a:t>
            </a:r>
          </a:p>
        </xdr:txBody>
      </xdr:sp>
      <xdr:pic macro="[0]!AddLicense">
        <xdr:nvPicPr>
          <xdr:cNvPr id="16" name="Graphic 15" descr="Credit card">
            <a:extLst>
              <a:ext uri="{FF2B5EF4-FFF2-40B4-BE49-F238E27FC236}">
                <a16:creationId xmlns:a16="http://schemas.microsoft.com/office/drawing/2014/main" id="{CFBCCABB-D861-45BF-9F03-B97AEAFA889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649980" y="4856116"/>
            <a:ext cx="601980" cy="515983"/>
          </a:xfrm>
          <a:prstGeom prst="rect">
            <a:avLst/>
          </a:prstGeom>
          <a:effectLst>
            <a:outerShdw blurRad="63500" sx="110000" sy="110000" algn="ctr" rotWithShape="0">
              <a:schemeClr val="bg1">
                <a:lumMod val="85000"/>
                <a:alpha val="40000"/>
              </a:schemeClr>
            </a:outerShdw>
          </a:effectLst>
        </xdr:spPr>
      </xdr:pic>
    </xdr:grpSp>
    <xdr:clientData/>
  </xdr:twoCellAnchor>
  <xdr:twoCellAnchor>
    <xdr:from>
      <xdr:col>3</xdr:col>
      <xdr:colOff>466714</xdr:colOff>
      <xdr:row>25</xdr:row>
      <xdr:rowOff>81641</xdr:rowOff>
    </xdr:from>
    <xdr:to>
      <xdr:col>5</xdr:col>
      <xdr:colOff>161914</xdr:colOff>
      <xdr:row>29</xdr:row>
      <xdr:rowOff>81641</xdr:rowOff>
    </xdr:to>
    <xdr:grpSp>
      <xdr:nvGrpSpPr>
        <xdr:cNvPr id="26" name="Group 25">
          <a:extLst>
            <a:ext uri="{FF2B5EF4-FFF2-40B4-BE49-F238E27FC236}">
              <a16:creationId xmlns:a16="http://schemas.microsoft.com/office/drawing/2014/main" id="{CFBCA51D-9099-445C-A9AB-9918F673B333}"/>
            </a:ext>
          </a:extLst>
        </xdr:cNvPr>
        <xdr:cNvGrpSpPr/>
      </xdr:nvGrpSpPr>
      <xdr:grpSpPr>
        <a:xfrm>
          <a:off x="2295514" y="4653641"/>
          <a:ext cx="914400" cy="731520"/>
          <a:chOff x="2644140" y="4653641"/>
          <a:chExt cx="914400" cy="731520"/>
        </a:xfrm>
      </xdr:grpSpPr>
      <xdr:sp macro="[0]!DeleteUser" textlink="">
        <xdr:nvSpPr>
          <xdr:cNvPr id="19" name="Rectangle: Rounded Corners 18">
            <a:extLst>
              <a:ext uri="{FF2B5EF4-FFF2-40B4-BE49-F238E27FC236}">
                <a16:creationId xmlns:a16="http://schemas.microsoft.com/office/drawing/2014/main" id="{9259B4C3-234B-4E14-95A5-BE898D5BB2E0}"/>
              </a:ext>
            </a:extLst>
          </xdr:cNvPr>
          <xdr:cNvSpPr/>
        </xdr:nvSpPr>
        <xdr:spPr>
          <a:xfrm>
            <a:off x="2644140" y="4653641"/>
            <a:ext cx="914400" cy="73152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Delete User</a:t>
            </a:r>
          </a:p>
        </xdr:txBody>
      </xdr:sp>
      <xdr:pic macro="[0]!DeleteUser">
        <xdr:nvPicPr>
          <xdr:cNvPr id="22" name="Graphic 21" descr="User">
            <a:extLst>
              <a:ext uri="{FF2B5EF4-FFF2-40B4-BE49-F238E27FC236}">
                <a16:creationId xmlns:a16="http://schemas.microsoft.com/office/drawing/2014/main" id="{E58ADC1D-2CDE-4E24-8D9A-1B016871ABD2}"/>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2872740" y="4876800"/>
            <a:ext cx="449580" cy="449580"/>
          </a:xfrm>
          <a:prstGeom prst="rect">
            <a:avLst/>
          </a:prstGeom>
          <a:effectLst>
            <a:outerShdw blurRad="63500" sx="110000" sy="110000" algn="ctr" rotWithShape="0">
              <a:schemeClr val="bg1">
                <a:alpha val="40000"/>
              </a:schemeClr>
            </a:outerShdw>
          </a:effectLst>
        </xdr:spPr>
      </xdr:pic>
      <xdr:sp macro="[0]!DeleteUser" textlink="">
        <xdr:nvSpPr>
          <xdr:cNvPr id="25" name="&quot;Not Allowed&quot; Symbol 24">
            <a:extLst>
              <a:ext uri="{FF2B5EF4-FFF2-40B4-BE49-F238E27FC236}">
                <a16:creationId xmlns:a16="http://schemas.microsoft.com/office/drawing/2014/main" id="{BAB7717C-7448-4160-8156-DC0E03FC2D85}"/>
              </a:ext>
            </a:extLst>
          </xdr:cNvPr>
          <xdr:cNvSpPr/>
        </xdr:nvSpPr>
        <xdr:spPr>
          <a:xfrm flipH="1">
            <a:off x="2865120" y="4892040"/>
            <a:ext cx="464820" cy="457200"/>
          </a:xfrm>
          <a:prstGeom prst="noSmoking">
            <a:avLst>
              <a:gd name="adj" fmla="val 5141"/>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clientData/>
  </xdr:twoCellAnchor>
  <xdr:twoCellAnchor>
    <xdr:from>
      <xdr:col>9</xdr:col>
      <xdr:colOff>459094</xdr:colOff>
      <xdr:row>25</xdr:row>
      <xdr:rowOff>83820</xdr:rowOff>
    </xdr:from>
    <xdr:to>
      <xdr:col>12</xdr:col>
      <xdr:colOff>230494</xdr:colOff>
      <xdr:row>29</xdr:row>
      <xdr:rowOff>83820</xdr:rowOff>
    </xdr:to>
    <xdr:grpSp>
      <xdr:nvGrpSpPr>
        <xdr:cNvPr id="43" name="Group 42">
          <a:extLst>
            <a:ext uri="{FF2B5EF4-FFF2-40B4-BE49-F238E27FC236}">
              <a16:creationId xmlns:a16="http://schemas.microsoft.com/office/drawing/2014/main" id="{3633F569-6C8E-4B94-A426-9A2225FF5E84}"/>
            </a:ext>
          </a:extLst>
        </xdr:cNvPr>
        <xdr:cNvGrpSpPr/>
      </xdr:nvGrpSpPr>
      <xdr:grpSpPr>
        <a:xfrm>
          <a:off x="5945494" y="4655820"/>
          <a:ext cx="1600200" cy="731520"/>
          <a:chOff x="5570220" y="4655820"/>
          <a:chExt cx="1600200" cy="731520"/>
        </a:xfrm>
      </xdr:grpSpPr>
      <xdr:grpSp>
        <xdr:nvGrpSpPr>
          <xdr:cNvPr id="27" name="Group 26">
            <a:extLst>
              <a:ext uri="{FF2B5EF4-FFF2-40B4-BE49-F238E27FC236}">
                <a16:creationId xmlns:a16="http://schemas.microsoft.com/office/drawing/2014/main" id="{705362E6-9A2F-4154-AB49-69E36CEDD330}"/>
              </a:ext>
            </a:extLst>
          </xdr:cNvPr>
          <xdr:cNvGrpSpPr/>
        </xdr:nvGrpSpPr>
        <xdr:grpSpPr>
          <a:xfrm>
            <a:off x="5570220" y="4655820"/>
            <a:ext cx="1600200" cy="731520"/>
            <a:chOff x="2948940" y="4678680"/>
            <a:chExt cx="1981200" cy="701040"/>
          </a:xfrm>
        </xdr:grpSpPr>
        <xdr:sp macro="[0]!AssignLicense" textlink="">
          <xdr:nvSpPr>
            <xdr:cNvPr id="28" name="Rectangle: Rounded Corners 27">
              <a:extLst>
                <a:ext uri="{FF2B5EF4-FFF2-40B4-BE49-F238E27FC236}">
                  <a16:creationId xmlns:a16="http://schemas.microsoft.com/office/drawing/2014/main" id="{650CD21C-0BAC-4D32-8893-F3F67A94BDD9}"/>
                </a:ext>
              </a:extLst>
            </xdr:cNvPr>
            <xdr:cNvSpPr/>
          </xdr:nvSpPr>
          <xdr:spPr>
            <a:xfrm>
              <a:off x="2948940" y="4678680"/>
              <a:ext cx="1981200" cy="7010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Assign License</a:t>
              </a:r>
            </a:p>
          </xdr:txBody>
        </xdr:sp>
        <xdr:pic macro="[0]!AssignLicense">
          <xdr:nvPicPr>
            <xdr:cNvPr id="29" name="Graphic 28" descr="Credit card">
              <a:extLst>
                <a:ext uri="{FF2B5EF4-FFF2-40B4-BE49-F238E27FC236}">
                  <a16:creationId xmlns:a16="http://schemas.microsoft.com/office/drawing/2014/main" id="{82D06128-F625-4E89-AAA8-13065965A67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046220" y="4863419"/>
              <a:ext cx="601980" cy="515983"/>
            </a:xfrm>
            <a:prstGeom prst="rect">
              <a:avLst/>
            </a:prstGeom>
            <a:effectLst>
              <a:outerShdw blurRad="63500" sx="110000" sy="110000" algn="ctr" rotWithShape="0">
                <a:schemeClr val="bg1">
                  <a:lumMod val="85000"/>
                  <a:alpha val="40000"/>
                </a:schemeClr>
              </a:outerShdw>
            </a:effectLst>
          </xdr:spPr>
        </xdr:pic>
      </xdr:grpSp>
      <xdr:pic macro="[0]!AssignLicense">
        <xdr:nvPicPr>
          <xdr:cNvPr id="33" name="Graphic 32" descr="User">
            <a:extLst>
              <a:ext uri="{FF2B5EF4-FFF2-40B4-BE49-F238E27FC236}">
                <a16:creationId xmlns:a16="http://schemas.microsoft.com/office/drawing/2014/main" id="{42CF74F8-5856-4D78-B19F-2119C3516628}"/>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730240" y="4892040"/>
            <a:ext cx="449580" cy="449580"/>
          </a:xfrm>
          <a:prstGeom prst="rect">
            <a:avLst/>
          </a:prstGeom>
          <a:effectLst>
            <a:outerShdw blurRad="63500" sx="110000" sy="110000" algn="ctr" rotWithShape="0">
              <a:schemeClr val="bg1">
                <a:alpha val="40000"/>
              </a:schemeClr>
            </a:outerShdw>
          </a:effectLst>
        </xdr:spPr>
      </xdr:pic>
      <xdr:pic macro="[0]!AssignLicense">
        <xdr:nvPicPr>
          <xdr:cNvPr id="39" name="Graphic 38" descr="Add">
            <a:extLst>
              <a:ext uri="{FF2B5EF4-FFF2-40B4-BE49-F238E27FC236}">
                <a16:creationId xmlns:a16="http://schemas.microsoft.com/office/drawing/2014/main" id="{1DFA43C0-82AF-4834-B3C8-37524F192245}"/>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6149340" y="4975860"/>
            <a:ext cx="289560" cy="289560"/>
          </a:xfrm>
          <a:prstGeom prst="rect">
            <a:avLst/>
          </a:prstGeom>
        </xdr:spPr>
      </xdr:pic>
    </xdr:grpSp>
    <xdr:clientData/>
  </xdr:twoCellAnchor>
  <xdr:twoCellAnchor>
    <xdr:from>
      <xdr:col>13</xdr:col>
      <xdr:colOff>93334</xdr:colOff>
      <xdr:row>25</xdr:row>
      <xdr:rowOff>83820</xdr:rowOff>
    </xdr:from>
    <xdr:to>
      <xdr:col>15</xdr:col>
      <xdr:colOff>474334</xdr:colOff>
      <xdr:row>29</xdr:row>
      <xdr:rowOff>83820</xdr:rowOff>
    </xdr:to>
    <xdr:grpSp>
      <xdr:nvGrpSpPr>
        <xdr:cNvPr id="44" name="Group 43">
          <a:extLst>
            <a:ext uri="{FF2B5EF4-FFF2-40B4-BE49-F238E27FC236}">
              <a16:creationId xmlns:a16="http://schemas.microsoft.com/office/drawing/2014/main" id="{A12B319B-2C1E-4FAE-833D-0E2BB12F3097}"/>
            </a:ext>
          </a:extLst>
        </xdr:cNvPr>
        <xdr:cNvGrpSpPr/>
      </xdr:nvGrpSpPr>
      <xdr:grpSpPr>
        <a:xfrm>
          <a:off x="8018134" y="4655820"/>
          <a:ext cx="1600200" cy="731520"/>
          <a:chOff x="7353300" y="4655820"/>
          <a:chExt cx="1600200" cy="731520"/>
        </a:xfrm>
      </xdr:grpSpPr>
      <xdr:grpSp>
        <xdr:nvGrpSpPr>
          <xdr:cNvPr id="30" name="Group 29">
            <a:extLst>
              <a:ext uri="{FF2B5EF4-FFF2-40B4-BE49-F238E27FC236}">
                <a16:creationId xmlns:a16="http://schemas.microsoft.com/office/drawing/2014/main" id="{B1DDE202-903D-4EA7-8651-45CFB883239D}"/>
              </a:ext>
            </a:extLst>
          </xdr:cNvPr>
          <xdr:cNvGrpSpPr/>
        </xdr:nvGrpSpPr>
        <xdr:grpSpPr>
          <a:xfrm>
            <a:off x="7353300" y="4655820"/>
            <a:ext cx="1600200" cy="731520"/>
            <a:chOff x="2948940" y="4678680"/>
            <a:chExt cx="1981200" cy="701040"/>
          </a:xfrm>
        </xdr:grpSpPr>
        <xdr:sp macro="[0]!UnassignLicense" textlink="">
          <xdr:nvSpPr>
            <xdr:cNvPr id="31" name="Rectangle: Rounded Corners 30">
              <a:extLst>
                <a:ext uri="{FF2B5EF4-FFF2-40B4-BE49-F238E27FC236}">
                  <a16:creationId xmlns:a16="http://schemas.microsoft.com/office/drawing/2014/main" id="{02844152-3709-4EBA-B43E-333F14DDE176}"/>
                </a:ext>
              </a:extLst>
            </xdr:cNvPr>
            <xdr:cNvSpPr/>
          </xdr:nvSpPr>
          <xdr:spPr>
            <a:xfrm>
              <a:off x="2948940" y="4678680"/>
              <a:ext cx="1981200" cy="7010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Unassign</a:t>
              </a:r>
              <a:r>
                <a:rPr lang="en-US" sz="1000" baseline="0">
                  <a:latin typeface="Times New Roman" panose="02020603050405020304" pitchFamily="18" charset="0"/>
                  <a:cs typeface="Times New Roman" panose="02020603050405020304" pitchFamily="18" charset="0"/>
                </a:rPr>
                <a:t> License</a:t>
              </a:r>
              <a:endParaRPr lang="en-US" sz="1000">
                <a:latin typeface="Times New Roman" panose="02020603050405020304" pitchFamily="18" charset="0"/>
                <a:cs typeface="Times New Roman" panose="02020603050405020304" pitchFamily="18" charset="0"/>
              </a:endParaRPr>
            </a:p>
          </xdr:txBody>
        </xdr:sp>
        <xdr:pic macro="[0]!UnassignLicense">
          <xdr:nvPicPr>
            <xdr:cNvPr id="32" name="Graphic 31" descr="Credit card">
              <a:extLst>
                <a:ext uri="{FF2B5EF4-FFF2-40B4-BE49-F238E27FC236}">
                  <a16:creationId xmlns:a16="http://schemas.microsoft.com/office/drawing/2014/main" id="{75864B53-DAB5-4DC9-8762-165265340F0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083958" y="4856116"/>
              <a:ext cx="601980" cy="515983"/>
            </a:xfrm>
            <a:prstGeom prst="rect">
              <a:avLst/>
            </a:prstGeom>
            <a:effectLst>
              <a:outerShdw blurRad="63500" sx="110000" sy="110000" algn="ctr" rotWithShape="0">
                <a:schemeClr val="bg1">
                  <a:lumMod val="85000"/>
                  <a:alpha val="40000"/>
                </a:schemeClr>
              </a:outerShdw>
            </a:effectLst>
          </xdr:spPr>
        </xdr:pic>
      </xdr:grpSp>
      <xdr:pic macro="[0]!UnassignLicense">
        <xdr:nvPicPr>
          <xdr:cNvPr id="37" name="Graphic 36" descr="User">
            <a:extLst>
              <a:ext uri="{FF2B5EF4-FFF2-40B4-BE49-F238E27FC236}">
                <a16:creationId xmlns:a16="http://schemas.microsoft.com/office/drawing/2014/main" id="{4DF55AC3-2288-4E9D-BFAC-0507B2D48016}"/>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498080" y="4876800"/>
            <a:ext cx="449580" cy="449580"/>
          </a:xfrm>
          <a:prstGeom prst="rect">
            <a:avLst/>
          </a:prstGeom>
          <a:effectLst>
            <a:outerShdw blurRad="63500" sx="110000" sy="110000" algn="ctr" rotWithShape="0">
              <a:schemeClr val="bg1">
                <a:alpha val="40000"/>
              </a:schemeClr>
            </a:outerShdw>
          </a:effectLst>
        </xdr:spPr>
      </xdr:pic>
      <xdr:sp macro="[0]!UnassignLicense" textlink="">
        <xdr:nvSpPr>
          <xdr:cNvPr id="42" name="Minus Sign 41">
            <a:extLst>
              <a:ext uri="{FF2B5EF4-FFF2-40B4-BE49-F238E27FC236}">
                <a16:creationId xmlns:a16="http://schemas.microsoft.com/office/drawing/2014/main" id="{9A97EC97-4444-482C-84C5-B8C1D64B1A19}"/>
              </a:ext>
            </a:extLst>
          </xdr:cNvPr>
          <xdr:cNvSpPr/>
        </xdr:nvSpPr>
        <xdr:spPr>
          <a:xfrm>
            <a:off x="7879080" y="4975860"/>
            <a:ext cx="403860" cy="213360"/>
          </a:xfrm>
          <a:prstGeom prst="mathMinus">
            <a:avLst/>
          </a:prstGeom>
          <a:solidFill>
            <a:schemeClr val="bg2"/>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16</xdr:col>
      <xdr:colOff>420994</xdr:colOff>
      <xdr:row>25</xdr:row>
      <xdr:rowOff>83820</xdr:rowOff>
    </xdr:from>
    <xdr:to>
      <xdr:col>19</xdr:col>
      <xdr:colOff>1894</xdr:colOff>
      <xdr:row>29</xdr:row>
      <xdr:rowOff>91440</xdr:rowOff>
    </xdr:to>
    <xdr:grpSp>
      <xdr:nvGrpSpPr>
        <xdr:cNvPr id="18" name="Group 17">
          <a:extLst>
            <a:ext uri="{FF2B5EF4-FFF2-40B4-BE49-F238E27FC236}">
              <a16:creationId xmlns:a16="http://schemas.microsoft.com/office/drawing/2014/main" id="{CDB7A343-AEE4-4330-856E-5A7AACFFB5BF}"/>
            </a:ext>
          </a:extLst>
        </xdr:cNvPr>
        <xdr:cNvGrpSpPr/>
      </xdr:nvGrpSpPr>
      <xdr:grpSpPr>
        <a:xfrm>
          <a:off x="10174594" y="4655820"/>
          <a:ext cx="1409700" cy="739140"/>
          <a:chOff x="10904220" y="4655820"/>
          <a:chExt cx="1409700" cy="739140"/>
        </a:xfrm>
      </xdr:grpSpPr>
      <xdr:sp macro="[0]!ViewUser" textlink="">
        <xdr:nvSpPr>
          <xdr:cNvPr id="40" name="Rectangle: Rounded Corners 39">
            <a:extLst>
              <a:ext uri="{FF2B5EF4-FFF2-40B4-BE49-F238E27FC236}">
                <a16:creationId xmlns:a16="http://schemas.microsoft.com/office/drawing/2014/main" id="{D4E93004-DD4A-4E53-B547-799559692C22}"/>
              </a:ext>
            </a:extLst>
          </xdr:cNvPr>
          <xdr:cNvSpPr/>
        </xdr:nvSpPr>
        <xdr:spPr>
          <a:xfrm>
            <a:off x="10904220" y="4655820"/>
            <a:ext cx="1409700" cy="7391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View User Licenses</a:t>
            </a:r>
          </a:p>
        </xdr:txBody>
      </xdr:sp>
      <xdr:pic macro="[0]!ViewUser">
        <xdr:nvPicPr>
          <xdr:cNvPr id="15" name="Graphic 14" descr="Employee badge">
            <a:extLst>
              <a:ext uri="{FF2B5EF4-FFF2-40B4-BE49-F238E27FC236}">
                <a16:creationId xmlns:a16="http://schemas.microsoft.com/office/drawing/2014/main" id="{1F198364-2E22-4998-BF28-FF61CCC625DA}"/>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1361420" y="4846320"/>
            <a:ext cx="510540" cy="510540"/>
          </a:xfrm>
          <a:prstGeom prst="rect">
            <a:avLst/>
          </a:prstGeom>
          <a:effectLst>
            <a:outerShdw blurRad="63500" sx="110000" sy="110000" algn="ctr" rotWithShape="0">
              <a:schemeClr val="bg2">
                <a:alpha val="40000"/>
              </a:schemeClr>
            </a:outerShdw>
          </a:effectLst>
        </xdr:spPr>
      </xdr:pic>
    </xdr:grpSp>
    <xdr:clientData/>
  </xdr:twoCellAnchor>
  <xdr:twoCellAnchor>
    <xdr:from>
      <xdr:col>1</xdr:col>
      <xdr:colOff>100954</xdr:colOff>
      <xdr:row>4</xdr:row>
      <xdr:rowOff>152400</xdr:rowOff>
    </xdr:from>
    <xdr:to>
      <xdr:col>3</xdr:col>
      <xdr:colOff>55234</xdr:colOff>
      <xdr:row>6</xdr:row>
      <xdr:rowOff>68580</xdr:rowOff>
    </xdr:to>
    <xdr:sp macro="" textlink="">
      <xdr:nvSpPr>
        <xdr:cNvPr id="11" name="Rectangle: Rounded Corners 10">
          <a:extLst>
            <a:ext uri="{FF2B5EF4-FFF2-40B4-BE49-F238E27FC236}">
              <a16:creationId xmlns:a16="http://schemas.microsoft.com/office/drawing/2014/main" id="{94FC6C4B-B289-4862-8C01-52E96B215229}"/>
            </a:ext>
          </a:extLst>
        </xdr:cNvPr>
        <xdr:cNvSpPr/>
      </xdr:nvSpPr>
      <xdr:spPr>
        <a:xfrm>
          <a:off x="710554" y="883920"/>
          <a:ext cx="117348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100954</xdr:colOff>
      <xdr:row>14</xdr:row>
      <xdr:rowOff>53340</xdr:rowOff>
    </xdr:from>
    <xdr:to>
      <xdr:col>3</xdr:col>
      <xdr:colOff>139054</xdr:colOff>
      <xdr:row>15</xdr:row>
      <xdr:rowOff>152400</xdr:rowOff>
    </xdr:to>
    <xdr:sp macro="" textlink="">
      <xdr:nvSpPr>
        <xdr:cNvPr id="45" name="Rectangle: Rounded Corners 44">
          <a:extLst>
            <a:ext uri="{FF2B5EF4-FFF2-40B4-BE49-F238E27FC236}">
              <a16:creationId xmlns:a16="http://schemas.microsoft.com/office/drawing/2014/main" id="{BB20D127-2917-4A4E-9EF7-69788895FB5C}"/>
            </a:ext>
          </a:extLst>
        </xdr:cNvPr>
        <xdr:cNvSpPr/>
      </xdr:nvSpPr>
      <xdr:spPr>
        <a:xfrm>
          <a:off x="710554" y="2613660"/>
          <a:ext cx="125730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253354</xdr:colOff>
      <xdr:row>14</xdr:row>
      <xdr:rowOff>53340</xdr:rowOff>
    </xdr:from>
    <xdr:to>
      <xdr:col>8</xdr:col>
      <xdr:colOff>360034</xdr:colOff>
      <xdr:row>15</xdr:row>
      <xdr:rowOff>152400</xdr:rowOff>
    </xdr:to>
    <xdr:sp macro="" textlink="">
      <xdr:nvSpPr>
        <xdr:cNvPr id="46" name="Rectangle: Rounded Corners 45">
          <a:extLst>
            <a:ext uri="{FF2B5EF4-FFF2-40B4-BE49-F238E27FC236}">
              <a16:creationId xmlns:a16="http://schemas.microsoft.com/office/drawing/2014/main" id="{6F440F55-D8F9-422D-A042-D3726965942A}"/>
            </a:ext>
          </a:extLst>
        </xdr:cNvPr>
        <xdr:cNvSpPr/>
      </xdr:nvSpPr>
      <xdr:spPr>
        <a:xfrm>
          <a:off x="3910954" y="2613660"/>
          <a:ext cx="132588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184774</xdr:colOff>
      <xdr:row>4</xdr:row>
      <xdr:rowOff>152400</xdr:rowOff>
    </xdr:from>
    <xdr:to>
      <xdr:col>16</xdr:col>
      <xdr:colOff>306694</xdr:colOff>
      <xdr:row>6</xdr:row>
      <xdr:rowOff>68580</xdr:rowOff>
    </xdr:to>
    <xdr:sp macro="" textlink="">
      <xdr:nvSpPr>
        <xdr:cNvPr id="47" name="Rectangle: Rounded Corners 46">
          <a:extLst>
            <a:ext uri="{FF2B5EF4-FFF2-40B4-BE49-F238E27FC236}">
              <a16:creationId xmlns:a16="http://schemas.microsoft.com/office/drawing/2014/main" id="{267CD019-1353-4ACB-8715-2F40A0F88E9C}"/>
            </a:ext>
          </a:extLst>
        </xdr:cNvPr>
        <xdr:cNvSpPr/>
      </xdr:nvSpPr>
      <xdr:spPr>
        <a:xfrm>
          <a:off x="8719174" y="883920"/>
          <a:ext cx="134112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179198</xdr:colOff>
      <xdr:row>14</xdr:row>
      <xdr:rowOff>60960</xdr:rowOff>
    </xdr:from>
    <xdr:to>
      <xdr:col>1</xdr:col>
      <xdr:colOff>453479</xdr:colOff>
      <xdr:row>15</xdr:row>
      <xdr:rowOff>152400</xdr:rowOff>
    </xdr:to>
    <xdr:pic>
      <xdr:nvPicPr>
        <xdr:cNvPr id="34" name="Graphic 33" descr="Pie chart">
          <a:extLst>
            <a:ext uri="{FF2B5EF4-FFF2-40B4-BE49-F238E27FC236}">
              <a16:creationId xmlns:a16="http://schemas.microsoft.com/office/drawing/2014/main" id="{417F8322-FDB0-44B5-86A2-D9ACB814B002}"/>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788798" y="2621280"/>
          <a:ext cx="274281" cy="274320"/>
        </a:xfrm>
        <a:prstGeom prst="rect">
          <a:avLst/>
        </a:prstGeom>
      </xdr:spPr>
    </xdr:pic>
    <xdr:clientData/>
  </xdr:twoCellAnchor>
  <xdr:twoCellAnchor>
    <xdr:from>
      <xdr:col>10</xdr:col>
      <xdr:colOff>85714</xdr:colOff>
      <xdr:row>14</xdr:row>
      <xdr:rowOff>45720</xdr:rowOff>
    </xdr:from>
    <xdr:to>
      <xdr:col>11</xdr:col>
      <xdr:colOff>489574</xdr:colOff>
      <xdr:row>15</xdr:row>
      <xdr:rowOff>144780</xdr:rowOff>
    </xdr:to>
    <xdr:sp macro="" textlink="">
      <xdr:nvSpPr>
        <xdr:cNvPr id="51" name="Rectangle: Rounded Corners 50">
          <a:extLst>
            <a:ext uri="{FF2B5EF4-FFF2-40B4-BE49-F238E27FC236}">
              <a16:creationId xmlns:a16="http://schemas.microsoft.com/office/drawing/2014/main" id="{D4F130BC-9A86-4702-89A0-5777540E2BDA}"/>
            </a:ext>
          </a:extLst>
        </xdr:cNvPr>
        <xdr:cNvSpPr/>
      </xdr:nvSpPr>
      <xdr:spPr>
        <a:xfrm>
          <a:off x="6181714" y="2606040"/>
          <a:ext cx="101346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198687</xdr:colOff>
      <xdr:row>4</xdr:row>
      <xdr:rowOff>154322</xdr:rowOff>
    </xdr:from>
    <xdr:to>
      <xdr:col>1</xdr:col>
      <xdr:colOff>473007</xdr:colOff>
      <xdr:row>6</xdr:row>
      <xdr:rowOff>62882</xdr:rowOff>
    </xdr:to>
    <xdr:pic>
      <xdr:nvPicPr>
        <xdr:cNvPr id="54" name="Graphic 53" descr="Statistics">
          <a:extLst>
            <a:ext uri="{FF2B5EF4-FFF2-40B4-BE49-F238E27FC236}">
              <a16:creationId xmlns:a16="http://schemas.microsoft.com/office/drawing/2014/main" id="{F50DED40-01F5-4539-A267-3C6F385C4318}"/>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808287" y="885842"/>
          <a:ext cx="274320" cy="274320"/>
        </a:xfrm>
        <a:prstGeom prst="rect">
          <a:avLst/>
        </a:prstGeom>
      </xdr:spPr>
    </xdr:pic>
    <xdr:clientData/>
  </xdr:twoCellAnchor>
  <xdr:twoCellAnchor editAs="oneCell">
    <xdr:from>
      <xdr:col>14</xdr:col>
      <xdr:colOff>272675</xdr:colOff>
      <xdr:row>4</xdr:row>
      <xdr:rowOff>158132</xdr:rowOff>
    </xdr:from>
    <xdr:to>
      <xdr:col>14</xdr:col>
      <xdr:colOff>546995</xdr:colOff>
      <xdr:row>6</xdr:row>
      <xdr:rowOff>66692</xdr:rowOff>
    </xdr:to>
    <xdr:pic>
      <xdr:nvPicPr>
        <xdr:cNvPr id="55" name="Graphic 54" descr="Bar chart RTL">
          <a:extLst>
            <a:ext uri="{FF2B5EF4-FFF2-40B4-BE49-F238E27FC236}">
              <a16:creationId xmlns:a16="http://schemas.microsoft.com/office/drawing/2014/main" id="{4A422D81-0840-4234-BDB8-1B3A681A5CFF}"/>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rot="5400000">
          <a:off x="8807075" y="889652"/>
          <a:ext cx="274320" cy="274320"/>
        </a:xfrm>
        <a:prstGeom prst="rect">
          <a:avLst/>
        </a:prstGeom>
      </xdr:spPr>
    </xdr:pic>
    <xdr:clientData/>
  </xdr:twoCellAnchor>
  <xdr:twoCellAnchor editAs="oneCell">
    <xdr:from>
      <xdr:col>6</xdr:col>
      <xdr:colOff>357135</xdr:colOff>
      <xdr:row>14</xdr:row>
      <xdr:rowOff>60960</xdr:rowOff>
    </xdr:from>
    <xdr:to>
      <xdr:col>7</xdr:col>
      <xdr:colOff>21855</xdr:colOff>
      <xdr:row>15</xdr:row>
      <xdr:rowOff>152400</xdr:rowOff>
    </xdr:to>
    <xdr:pic>
      <xdr:nvPicPr>
        <xdr:cNvPr id="57" name="Graphic 56" descr="Target Audience">
          <a:extLst>
            <a:ext uri="{FF2B5EF4-FFF2-40B4-BE49-F238E27FC236}">
              <a16:creationId xmlns:a16="http://schemas.microsoft.com/office/drawing/2014/main" id="{4F0ACCE4-7FCE-41B1-95CE-D926E1EBE6AE}"/>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4014735" y="2621280"/>
          <a:ext cx="274320" cy="274320"/>
        </a:xfrm>
        <a:prstGeom prst="rect">
          <a:avLst/>
        </a:prstGeom>
      </xdr:spPr>
    </xdr:pic>
    <xdr:clientData/>
  </xdr:twoCellAnchor>
  <xdr:twoCellAnchor editAs="oneCell">
    <xdr:from>
      <xdr:col>10</xdr:col>
      <xdr:colOff>180469</xdr:colOff>
      <xdr:row>14</xdr:row>
      <xdr:rowOff>49035</xdr:rowOff>
    </xdr:from>
    <xdr:to>
      <xdr:col>10</xdr:col>
      <xdr:colOff>454789</xdr:colOff>
      <xdr:row>15</xdr:row>
      <xdr:rowOff>140475</xdr:rowOff>
    </xdr:to>
    <xdr:pic>
      <xdr:nvPicPr>
        <xdr:cNvPr id="59" name="Graphic 58" descr="Employee badge">
          <a:extLst>
            <a:ext uri="{FF2B5EF4-FFF2-40B4-BE49-F238E27FC236}">
              <a16:creationId xmlns:a16="http://schemas.microsoft.com/office/drawing/2014/main" id="{1D8906D1-E55D-490D-8875-8CE74E9E9C7F}"/>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6276469" y="2609355"/>
          <a:ext cx="274320" cy="274320"/>
        </a:xfrm>
        <a:prstGeom prst="rect">
          <a:avLst/>
        </a:prstGeom>
      </xdr:spPr>
    </xdr:pic>
    <xdr:clientData/>
  </xdr:twoCellAnchor>
  <xdr:twoCellAnchor>
    <xdr:from>
      <xdr:col>1</xdr:col>
      <xdr:colOff>413374</xdr:colOff>
      <xdr:row>4</xdr:row>
      <xdr:rowOff>160109</xdr:rowOff>
    </xdr:from>
    <xdr:to>
      <xdr:col>3</xdr:col>
      <xdr:colOff>93334</xdr:colOff>
      <xdr:row>6</xdr:row>
      <xdr:rowOff>60960</xdr:rowOff>
    </xdr:to>
    <xdr:sp macro="" textlink="">
      <xdr:nvSpPr>
        <xdr:cNvPr id="62" name="TextBox 61">
          <a:extLst>
            <a:ext uri="{FF2B5EF4-FFF2-40B4-BE49-F238E27FC236}">
              <a16:creationId xmlns:a16="http://schemas.microsoft.com/office/drawing/2014/main" id="{3F44C79C-B3CD-44D2-BEB4-21981B1815E6}"/>
            </a:ext>
          </a:extLst>
        </xdr:cNvPr>
        <xdr:cNvSpPr txBox="1"/>
      </xdr:nvSpPr>
      <xdr:spPr>
        <a:xfrm>
          <a:off x="1022974" y="891629"/>
          <a:ext cx="899160"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Timelines</a:t>
          </a:r>
        </a:p>
      </xdr:txBody>
    </xdr:sp>
    <xdr:clientData/>
  </xdr:twoCellAnchor>
  <xdr:twoCellAnchor>
    <xdr:from>
      <xdr:col>1</xdr:col>
      <xdr:colOff>400506</xdr:colOff>
      <xdr:row>14</xdr:row>
      <xdr:rowOff>61328</xdr:rowOff>
    </xdr:from>
    <xdr:to>
      <xdr:col>3</xdr:col>
      <xdr:colOff>215254</xdr:colOff>
      <xdr:row>15</xdr:row>
      <xdr:rowOff>145059</xdr:rowOff>
    </xdr:to>
    <xdr:sp macro="" textlink="">
      <xdr:nvSpPr>
        <xdr:cNvPr id="63" name="TextBox 62">
          <a:extLst>
            <a:ext uri="{FF2B5EF4-FFF2-40B4-BE49-F238E27FC236}">
              <a16:creationId xmlns:a16="http://schemas.microsoft.com/office/drawing/2014/main" id="{223B599D-9581-4712-9B9E-9BA3E7E7B9AD}"/>
            </a:ext>
          </a:extLst>
        </xdr:cNvPr>
        <xdr:cNvSpPr txBox="1"/>
      </xdr:nvSpPr>
      <xdr:spPr>
        <a:xfrm>
          <a:off x="1010106" y="2621648"/>
          <a:ext cx="103394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Usage</a:t>
          </a:r>
          <a:r>
            <a:rPr lang="en-US" sz="1200" b="1" baseline="0">
              <a:solidFill>
                <a:schemeClr val="bg1"/>
              </a:solidFill>
              <a:latin typeface="Times New Roman" panose="02020603050405020304" pitchFamily="18" charset="0"/>
              <a:cs typeface="Times New Roman" panose="02020603050405020304" pitchFamily="18" charset="0"/>
            </a:rPr>
            <a:t> Rate</a:t>
          </a:r>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598626</xdr:colOff>
      <xdr:row>14</xdr:row>
      <xdr:rowOff>61328</xdr:rowOff>
    </xdr:from>
    <xdr:to>
      <xdr:col>8</xdr:col>
      <xdr:colOff>390514</xdr:colOff>
      <xdr:row>15</xdr:row>
      <xdr:rowOff>145059</xdr:rowOff>
    </xdr:to>
    <xdr:sp macro="" textlink="">
      <xdr:nvSpPr>
        <xdr:cNvPr id="64" name="TextBox 63">
          <a:extLst>
            <a:ext uri="{FF2B5EF4-FFF2-40B4-BE49-F238E27FC236}">
              <a16:creationId xmlns:a16="http://schemas.microsoft.com/office/drawing/2014/main" id="{7D3D8066-A700-4C81-A0E0-C43CDE36EDC7}"/>
            </a:ext>
          </a:extLst>
        </xdr:cNvPr>
        <xdr:cNvSpPr txBox="1"/>
      </xdr:nvSpPr>
      <xdr:spPr>
        <a:xfrm>
          <a:off x="4256226" y="2621648"/>
          <a:ext cx="101108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Component</a:t>
          </a:r>
        </a:p>
      </xdr:txBody>
    </xdr:sp>
    <xdr:clientData/>
  </xdr:twoCellAnchor>
  <xdr:twoCellAnchor>
    <xdr:from>
      <xdr:col>10</xdr:col>
      <xdr:colOff>423366</xdr:colOff>
      <xdr:row>14</xdr:row>
      <xdr:rowOff>55466</xdr:rowOff>
    </xdr:from>
    <xdr:to>
      <xdr:col>11</xdr:col>
      <xdr:colOff>451474</xdr:colOff>
      <xdr:row>15</xdr:row>
      <xdr:rowOff>139197</xdr:rowOff>
    </xdr:to>
    <xdr:sp macro="" textlink="">
      <xdr:nvSpPr>
        <xdr:cNvPr id="65" name="TextBox 64">
          <a:extLst>
            <a:ext uri="{FF2B5EF4-FFF2-40B4-BE49-F238E27FC236}">
              <a16:creationId xmlns:a16="http://schemas.microsoft.com/office/drawing/2014/main" id="{EBC1BBAF-E40D-4D24-B501-32C089354050}"/>
            </a:ext>
          </a:extLst>
        </xdr:cNvPr>
        <xdr:cNvSpPr txBox="1"/>
      </xdr:nvSpPr>
      <xdr:spPr>
        <a:xfrm>
          <a:off x="6519366" y="2615786"/>
          <a:ext cx="63770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Rank</a:t>
          </a:r>
        </a:p>
      </xdr:txBody>
    </xdr:sp>
    <xdr:clientData/>
  </xdr:twoCellAnchor>
  <xdr:twoCellAnchor>
    <xdr:from>
      <xdr:col>14</xdr:col>
      <xdr:colOff>514806</xdr:colOff>
      <xdr:row>4</xdr:row>
      <xdr:rowOff>160388</xdr:rowOff>
    </xdr:from>
    <xdr:to>
      <xdr:col>16</xdr:col>
      <xdr:colOff>489574</xdr:colOff>
      <xdr:row>6</xdr:row>
      <xdr:rowOff>61239</xdr:rowOff>
    </xdr:to>
    <xdr:sp macro="" textlink="">
      <xdr:nvSpPr>
        <xdr:cNvPr id="66" name="TextBox 65">
          <a:extLst>
            <a:ext uri="{FF2B5EF4-FFF2-40B4-BE49-F238E27FC236}">
              <a16:creationId xmlns:a16="http://schemas.microsoft.com/office/drawing/2014/main" id="{6C0A847B-8ED1-4157-BDD2-C2482B80690F}"/>
            </a:ext>
          </a:extLst>
        </xdr:cNvPr>
        <xdr:cNvSpPr txBox="1"/>
      </xdr:nvSpPr>
      <xdr:spPr>
        <a:xfrm>
          <a:off x="9049206" y="891908"/>
          <a:ext cx="119396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Availability</a:t>
          </a:r>
        </a:p>
      </xdr:txBody>
    </xdr:sp>
    <xdr:clientData/>
  </xdr:twoCellAnchor>
  <xdr:twoCellAnchor>
    <xdr:from>
      <xdr:col>6</xdr:col>
      <xdr:colOff>161914</xdr:colOff>
      <xdr:row>16</xdr:row>
      <xdr:rowOff>15239</xdr:rowOff>
    </xdr:from>
    <xdr:to>
      <xdr:col>10</xdr:col>
      <xdr:colOff>1894</xdr:colOff>
      <xdr:row>24</xdr:row>
      <xdr:rowOff>60960</xdr:rowOff>
    </xdr:to>
    <xdr:graphicFrame macro="">
      <xdr:nvGraphicFramePr>
        <xdr:cNvPr id="67" name="Chart 66">
          <a:extLst>
            <a:ext uri="{FF2B5EF4-FFF2-40B4-BE49-F238E27FC236}">
              <a16:creationId xmlns:a16="http://schemas.microsoft.com/office/drawing/2014/main" id="{F5EB9466-4B66-4BA4-831F-512C4868F2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9</xdr:col>
      <xdr:colOff>600075</xdr:colOff>
      <xdr:row>16</xdr:row>
      <xdr:rowOff>0</xdr:rowOff>
    </xdr:from>
    <xdr:to>
      <xdr:col>13</xdr:col>
      <xdr:colOff>451474</xdr:colOff>
      <xdr:row>24</xdr:row>
      <xdr:rowOff>68580</xdr:rowOff>
    </xdr:to>
    <xdr:graphicFrame macro="">
      <xdr:nvGraphicFramePr>
        <xdr:cNvPr id="68" name="Chart 67">
          <a:extLst>
            <a:ext uri="{FF2B5EF4-FFF2-40B4-BE49-F238E27FC236}">
              <a16:creationId xmlns:a16="http://schemas.microsoft.com/office/drawing/2014/main" id="{DBEF83A4-F32A-4C79-A715-ACA8D69872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14</xdr:col>
      <xdr:colOff>116195</xdr:colOff>
      <xdr:row>6</xdr:row>
      <xdr:rowOff>91440</xdr:rowOff>
    </xdr:from>
    <xdr:to>
      <xdr:col>19</xdr:col>
      <xdr:colOff>352415</xdr:colOff>
      <xdr:row>24</xdr:row>
      <xdr:rowOff>68580</xdr:rowOff>
    </xdr:to>
    <xdr:graphicFrame macro="">
      <xdr:nvGraphicFramePr>
        <xdr:cNvPr id="69" name="Chart 68">
          <a:extLst>
            <a:ext uri="{FF2B5EF4-FFF2-40B4-BE49-F238E27FC236}">
              <a16:creationId xmlns:a16="http://schemas.microsoft.com/office/drawing/2014/main" id="{D3C09662-0607-4F76-ADBB-928E270564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xdr:col>
      <xdr:colOff>17134</xdr:colOff>
      <xdr:row>16</xdr:row>
      <xdr:rowOff>34290</xdr:rowOff>
    </xdr:from>
    <xdr:to>
      <xdr:col>5</xdr:col>
      <xdr:colOff>533400</xdr:colOff>
      <xdr:row>23</xdr:row>
      <xdr:rowOff>171450</xdr:rowOff>
    </xdr:to>
    <xdr:graphicFrame macro="">
      <xdr:nvGraphicFramePr>
        <xdr:cNvPr id="70" name="Chart 69">
          <a:extLst>
            <a:ext uri="{FF2B5EF4-FFF2-40B4-BE49-F238E27FC236}">
              <a16:creationId xmlns:a16="http://schemas.microsoft.com/office/drawing/2014/main" id="{A98931A9-98BC-4350-B9A0-50776A0551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3</xdr:col>
      <xdr:colOff>85725</xdr:colOff>
      <xdr:row>4</xdr:row>
      <xdr:rowOff>167640</xdr:rowOff>
    </xdr:from>
    <xdr:to>
      <xdr:col>13</xdr:col>
      <xdr:colOff>451474</xdr:colOff>
      <xdr:row>13</xdr:row>
      <xdr:rowOff>45720</xdr:rowOff>
    </xdr:to>
    <xdr:graphicFrame macro="">
      <xdr:nvGraphicFramePr>
        <xdr:cNvPr id="71" name="Chart 70">
          <a:extLst>
            <a:ext uri="{FF2B5EF4-FFF2-40B4-BE49-F238E27FC236}">
              <a16:creationId xmlns:a16="http://schemas.microsoft.com/office/drawing/2014/main" id="{D081EFFA-0CC5-45B8-B86B-F49E55CD10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editAs="oneCell">
    <xdr:from>
      <xdr:col>19</xdr:col>
      <xdr:colOff>597244</xdr:colOff>
      <xdr:row>23</xdr:row>
      <xdr:rowOff>41189</xdr:rowOff>
    </xdr:from>
    <xdr:to>
      <xdr:col>22</xdr:col>
      <xdr:colOff>597243</xdr:colOff>
      <xdr:row>29</xdr:row>
      <xdr:rowOff>61784</xdr:rowOff>
    </xdr:to>
    <mc:AlternateContent xmlns:mc="http://schemas.openxmlformats.org/markup-compatibility/2006" xmlns:a14="http://schemas.microsoft.com/office/drawing/2010/main">
      <mc:Choice Requires="a14">
        <xdr:graphicFrame macro="">
          <xdr:nvGraphicFramePr>
            <xdr:cNvPr id="74" name="Rank">
              <a:extLst>
                <a:ext uri="{FF2B5EF4-FFF2-40B4-BE49-F238E27FC236}">
                  <a16:creationId xmlns:a16="http://schemas.microsoft.com/office/drawing/2014/main" id="{4058235E-B90F-49F3-8C3F-2DE3C79E4E2F}"/>
                </a:ext>
              </a:extLst>
            </xdr:cNvPr>
            <xdr:cNvGraphicFramePr/>
          </xdr:nvGraphicFramePr>
          <xdr:xfrm>
            <a:off x="0" y="0"/>
            <a:ext cx="0" cy="0"/>
          </xdr:xfrm>
          <a:graphic>
            <a:graphicData uri="http://schemas.microsoft.com/office/drawing/2010/slicer">
              <sle:slicer xmlns:sle="http://schemas.microsoft.com/office/drawing/2010/slicer" name="Rank"/>
            </a:graphicData>
          </a:graphic>
        </xdr:graphicFrame>
      </mc:Choice>
      <mc:Fallback xmlns="">
        <xdr:sp macro="" textlink="">
          <xdr:nvSpPr>
            <xdr:cNvPr id="0" name=""/>
            <xdr:cNvSpPr>
              <a:spLocks noTextEdit="1"/>
            </xdr:cNvSpPr>
          </xdr:nvSpPr>
          <xdr:spPr>
            <a:xfrm>
              <a:off x="12179644" y="4247429"/>
              <a:ext cx="1828799" cy="1117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597244</xdr:colOff>
      <xdr:row>15</xdr:row>
      <xdr:rowOff>26568</xdr:rowOff>
    </xdr:from>
    <xdr:to>
      <xdr:col>22</xdr:col>
      <xdr:colOff>597243</xdr:colOff>
      <xdr:row>23</xdr:row>
      <xdr:rowOff>10297</xdr:rowOff>
    </xdr:to>
    <mc:AlternateContent xmlns:mc="http://schemas.openxmlformats.org/markup-compatibility/2006" xmlns:a14="http://schemas.microsoft.com/office/drawing/2010/main">
      <mc:Choice Requires="a14">
        <xdr:graphicFrame macro="">
          <xdr:nvGraphicFramePr>
            <xdr:cNvPr id="76" name="Component">
              <a:extLst>
                <a:ext uri="{FF2B5EF4-FFF2-40B4-BE49-F238E27FC236}">
                  <a16:creationId xmlns:a16="http://schemas.microsoft.com/office/drawing/2014/main" id="{25580197-C02B-4480-8CBE-00420E7BAA47}"/>
                </a:ext>
              </a:extLst>
            </xdr:cNvPr>
            <xdr:cNvGraphicFramePr/>
          </xdr:nvGraphicFramePr>
          <xdr:xfrm>
            <a:off x="0" y="0"/>
            <a:ext cx="0" cy="0"/>
          </xdr:xfrm>
          <a:graphic>
            <a:graphicData uri="http://schemas.microsoft.com/office/drawing/2010/slicer">
              <sle:slicer xmlns:sle="http://schemas.microsoft.com/office/drawing/2010/slicer" name="Component"/>
            </a:graphicData>
          </a:graphic>
        </xdr:graphicFrame>
      </mc:Choice>
      <mc:Fallback xmlns="">
        <xdr:sp macro="" textlink="">
          <xdr:nvSpPr>
            <xdr:cNvPr id="0" name=""/>
            <xdr:cNvSpPr>
              <a:spLocks noTextEdit="1"/>
            </xdr:cNvSpPr>
          </xdr:nvSpPr>
          <xdr:spPr>
            <a:xfrm>
              <a:off x="12179644" y="2769768"/>
              <a:ext cx="1828799" cy="14467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597244</xdr:colOff>
      <xdr:row>5</xdr:row>
      <xdr:rowOff>1029</xdr:rowOff>
    </xdr:from>
    <xdr:to>
      <xdr:col>22</xdr:col>
      <xdr:colOff>597243</xdr:colOff>
      <xdr:row>15</xdr:row>
      <xdr:rowOff>0</xdr:rowOff>
    </xdr:to>
    <mc:AlternateContent xmlns:mc="http://schemas.openxmlformats.org/markup-compatibility/2006" xmlns:a14="http://schemas.microsoft.com/office/drawing/2010/main">
      <mc:Choice Requires="a14">
        <xdr:graphicFrame macro="">
          <xdr:nvGraphicFramePr>
            <xdr:cNvPr id="77" name="AssetName">
              <a:extLst>
                <a:ext uri="{FF2B5EF4-FFF2-40B4-BE49-F238E27FC236}">
                  <a16:creationId xmlns:a16="http://schemas.microsoft.com/office/drawing/2014/main" id="{7E9DCCD1-79E1-4504-B2D3-A79818B1FFE1}"/>
                </a:ext>
              </a:extLst>
            </xdr:cNvPr>
            <xdr:cNvGraphicFramePr/>
          </xdr:nvGraphicFramePr>
          <xdr:xfrm>
            <a:off x="0" y="0"/>
            <a:ext cx="0" cy="0"/>
          </xdr:xfrm>
          <a:graphic>
            <a:graphicData uri="http://schemas.microsoft.com/office/drawing/2010/slicer">
              <sle:slicer xmlns:sle="http://schemas.microsoft.com/office/drawing/2010/slicer" name="AssetName"/>
            </a:graphicData>
          </a:graphic>
        </xdr:graphicFrame>
      </mc:Choice>
      <mc:Fallback xmlns="">
        <xdr:sp macro="" textlink="">
          <xdr:nvSpPr>
            <xdr:cNvPr id="0" name=""/>
            <xdr:cNvSpPr>
              <a:spLocks noTextEdit="1"/>
            </xdr:cNvSpPr>
          </xdr:nvSpPr>
          <xdr:spPr>
            <a:xfrm>
              <a:off x="12179644" y="915429"/>
              <a:ext cx="1828799" cy="18277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236765</xdr:colOff>
      <xdr:row>14</xdr:row>
      <xdr:rowOff>13608</xdr:rowOff>
    </xdr:from>
    <xdr:to>
      <xdr:col>5</xdr:col>
      <xdr:colOff>530679</xdr:colOff>
      <xdr:row>15</xdr:row>
      <xdr:rowOff>122465</xdr:rowOff>
    </xdr:to>
    <xdr:pic macro="[0]!Sheet1.Change_InfoBox_Usage_Visibility">
      <xdr:nvPicPr>
        <xdr:cNvPr id="5" name="InfoButton_Usage" descr="Information">
          <a:extLst>
            <a:ext uri="{FF2B5EF4-FFF2-40B4-BE49-F238E27FC236}">
              <a16:creationId xmlns:a16="http://schemas.microsoft.com/office/drawing/2014/main" id="{3E80FBAC-ACFE-49D3-9150-F37FA3AD61B5}"/>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tretch>
          <a:fillRect/>
        </a:stretch>
      </xdr:blipFill>
      <xdr:spPr>
        <a:xfrm>
          <a:off x="3284765" y="2547258"/>
          <a:ext cx="293914" cy="289832"/>
        </a:xfrm>
        <a:prstGeom prst="rect">
          <a:avLst/>
        </a:prstGeom>
      </xdr:spPr>
    </xdr:pic>
    <xdr:clientData/>
  </xdr:twoCellAnchor>
  <xdr:twoCellAnchor>
    <xdr:from>
      <xdr:col>3</xdr:col>
      <xdr:colOff>47897</xdr:colOff>
      <xdr:row>15</xdr:row>
      <xdr:rowOff>144784</xdr:rowOff>
    </xdr:from>
    <xdr:to>
      <xdr:col>5</xdr:col>
      <xdr:colOff>472441</xdr:colOff>
      <xdr:row>21</xdr:row>
      <xdr:rowOff>81647</xdr:rowOff>
    </xdr:to>
    <xdr:grpSp>
      <xdr:nvGrpSpPr>
        <xdr:cNvPr id="20" name="InfoBox_Usage" hidden="1">
          <a:extLst>
            <a:ext uri="{FF2B5EF4-FFF2-40B4-BE49-F238E27FC236}">
              <a16:creationId xmlns:a16="http://schemas.microsoft.com/office/drawing/2014/main" id="{D2520383-D241-4CBB-9798-0EC376D0134E}"/>
            </a:ext>
          </a:extLst>
        </xdr:cNvPr>
        <xdr:cNvGrpSpPr/>
      </xdr:nvGrpSpPr>
      <xdr:grpSpPr>
        <a:xfrm>
          <a:off x="1876697" y="2887984"/>
          <a:ext cx="1643744" cy="1034143"/>
          <a:chOff x="1709056" y="2960916"/>
          <a:chExt cx="1817915" cy="1153885"/>
        </a:xfrm>
      </xdr:grpSpPr>
      <xdr:sp macro="" textlink="">
        <xdr:nvSpPr>
          <xdr:cNvPr id="9" name="Rectangle: Rounded Corners 8" hidden="1">
            <a:extLst>
              <a:ext uri="{FF2B5EF4-FFF2-40B4-BE49-F238E27FC236}">
                <a16:creationId xmlns:a16="http://schemas.microsoft.com/office/drawing/2014/main" id="{ADD228AD-3650-4768-B2C1-3F84715CD0CC}"/>
              </a:ext>
            </a:extLst>
          </xdr:cNvPr>
          <xdr:cNvSpPr/>
        </xdr:nvSpPr>
        <xdr:spPr>
          <a:xfrm>
            <a:off x="1709056" y="2971799"/>
            <a:ext cx="1817915" cy="1143001"/>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hidden="1">
            <a:extLst>
              <a:ext uri="{FF2B5EF4-FFF2-40B4-BE49-F238E27FC236}">
                <a16:creationId xmlns:a16="http://schemas.microsoft.com/office/drawing/2014/main" id="{E375C065-6B82-4690-AB2B-6BC1365303CE}"/>
              </a:ext>
            </a:extLst>
          </xdr:cNvPr>
          <xdr:cNvSpPr txBox="1"/>
        </xdr:nvSpPr>
        <xdr:spPr>
          <a:xfrm>
            <a:off x="1709056" y="2960916"/>
            <a:ext cx="1807029" cy="1153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Times New Roman" panose="02020603050405020304" pitchFamily="18" charset="0"/>
                <a:cs typeface="Times New Roman" panose="02020603050405020304" pitchFamily="18" charset="0"/>
              </a:rPr>
              <a:t>This statistic shows the total amount of licenses that hace been assigned over the total amount of licenses</a:t>
            </a:r>
            <a:r>
              <a:rPr lang="en-US" sz="1100" baseline="0">
                <a:latin typeface="Times New Roman" panose="02020603050405020304" pitchFamily="18" charset="0"/>
                <a:cs typeface="Times New Roman" panose="02020603050405020304" pitchFamily="18" charset="0"/>
              </a:rPr>
              <a:t> in the database.</a:t>
            </a:r>
            <a:endParaRPr lang="en-US" sz="1100">
              <a:latin typeface="Times New Roman" panose="02020603050405020304" pitchFamily="18" charset="0"/>
              <a:cs typeface="Times New Roman" panose="02020603050405020304" pitchFamily="18" charset="0"/>
            </a:endParaRPr>
          </a:p>
        </xdr:txBody>
      </xdr:sp>
    </xdr:grpSp>
    <xdr:clientData/>
  </xdr:twoCellAnchor>
  <xdr:twoCellAnchor editAs="oneCell">
    <xdr:from>
      <xdr:col>13</xdr:col>
      <xdr:colOff>160565</xdr:colOff>
      <xdr:row>4</xdr:row>
      <xdr:rowOff>116478</xdr:rowOff>
    </xdr:from>
    <xdr:to>
      <xdr:col>13</xdr:col>
      <xdr:colOff>454479</xdr:colOff>
      <xdr:row>6</xdr:row>
      <xdr:rowOff>42455</xdr:rowOff>
    </xdr:to>
    <xdr:pic macro="[0]!Sheet1.Change_InfoBox_Timelines_Visibility">
      <xdr:nvPicPr>
        <xdr:cNvPr id="73" name="InfoButton_Timelines" descr="Information">
          <a:extLst>
            <a:ext uri="{FF2B5EF4-FFF2-40B4-BE49-F238E27FC236}">
              <a16:creationId xmlns:a16="http://schemas.microsoft.com/office/drawing/2014/main" id="{DCA129ED-9462-45F0-96F8-1BB2C8712AAD}"/>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tretch>
          <a:fillRect/>
        </a:stretch>
      </xdr:blipFill>
      <xdr:spPr>
        <a:xfrm>
          <a:off x="8085365" y="840378"/>
          <a:ext cx="293914" cy="287927"/>
        </a:xfrm>
        <a:prstGeom prst="rect">
          <a:avLst/>
        </a:prstGeom>
      </xdr:spPr>
    </xdr:pic>
    <xdr:clientData/>
  </xdr:twoCellAnchor>
  <xdr:twoCellAnchor>
    <xdr:from>
      <xdr:col>10</xdr:col>
      <xdr:colOff>581297</xdr:colOff>
      <xdr:row>6</xdr:row>
      <xdr:rowOff>45724</xdr:rowOff>
    </xdr:from>
    <xdr:to>
      <xdr:col>13</xdr:col>
      <xdr:colOff>396241</xdr:colOff>
      <xdr:row>11</xdr:row>
      <xdr:rowOff>165467</xdr:rowOff>
    </xdr:to>
    <xdr:grpSp>
      <xdr:nvGrpSpPr>
        <xdr:cNvPr id="75" name="InfoBox_Timelines" hidden="1">
          <a:extLst>
            <a:ext uri="{FF2B5EF4-FFF2-40B4-BE49-F238E27FC236}">
              <a16:creationId xmlns:a16="http://schemas.microsoft.com/office/drawing/2014/main" id="{45923E32-3115-43DE-9503-F6C9C248D77C}"/>
            </a:ext>
          </a:extLst>
        </xdr:cNvPr>
        <xdr:cNvGrpSpPr/>
      </xdr:nvGrpSpPr>
      <xdr:grpSpPr>
        <a:xfrm>
          <a:off x="6677297" y="1143004"/>
          <a:ext cx="1643744" cy="1034143"/>
          <a:chOff x="1709056" y="2960916"/>
          <a:chExt cx="1817915" cy="1153885"/>
        </a:xfrm>
      </xdr:grpSpPr>
      <xdr:sp macro="" textlink="">
        <xdr:nvSpPr>
          <xdr:cNvPr id="78" name="Rectangle: Rounded Corners 77" hidden="1">
            <a:extLst>
              <a:ext uri="{FF2B5EF4-FFF2-40B4-BE49-F238E27FC236}">
                <a16:creationId xmlns:a16="http://schemas.microsoft.com/office/drawing/2014/main" id="{7D5309A3-DD26-48E3-A59B-39C1BA631DD8}"/>
              </a:ext>
            </a:extLst>
          </xdr:cNvPr>
          <xdr:cNvSpPr/>
        </xdr:nvSpPr>
        <xdr:spPr>
          <a:xfrm>
            <a:off x="1709056" y="2971799"/>
            <a:ext cx="1817915" cy="1143001"/>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9" name="TextBox 78" hidden="1">
            <a:extLst>
              <a:ext uri="{FF2B5EF4-FFF2-40B4-BE49-F238E27FC236}">
                <a16:creationId xmlns:a16="http://schemas.microsoft.com/office/drawing/2014/main" id="{56E066B7-7F91-414C-86EC-56E6AFC54DCA}"/>
              </a:ext>
            </a:extLst>
          </xdr:cNvPr>
          <xdr:cNvSpPr txBox="1"/>
        </xdr:nvSpPr>
        <xdr:spPr>
          <a:xfrm>
            <a:off x="1709056" y="2960916"/>
            <a:ext cx="1807029" cy="1153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Times New Roman" panose="02020603050405020304" pitchFamily="18" charset="0"/>
                <a:cs typeface="Times New Roman" panose="02020603050405020304" pitchFamily="18" charset="0"/>
              </a:rPr>
              <a:t>Displays</a:t>
            </a:r>
            <a:r>
              <a:rPr lang="en-US" sz="1100" baseline="0">
                <a:latin typeface="Times New Roman" panose="02020603050405020304" pitchFamily="18" charset="0"/>
                <a:cs typeface="Times New Roman" panose="02020603050405020304" pitchFamily="18" charset="0"/>
              </a:rPr>
              <a:t> timelines for all licenses [listed by key name] go to "Design &gt; Select" data to get more precise data on specifics.</a:t>
            </a:r>
            <a:endParaRPr lang="en-US" sz="1100">
              <a:latin typeface="Times New Roman" panose="02020603050405020304" pitchFamily="18" charset="0"/>
              <a:cs typeface="Times New Roman" panose="02020603050405020304" pitchFamily="18" charset="0"/>
            </a:endParaRPr>
          </a:p>
        </xdr:txBody>
      </xdr:sp>
    </xdr:grpSp>
    <xdr:clientData/>
  </xdr:twoCellAnchor>
  <xdr:twoCellAnchor editAs="oneCell">
    <xdr:from>
      <xdr:col>13</xdr:col>
      <xdr:colOff>164375</xdr:colOff>
      <xdr:row>14</xdr:row>
      <xdr:rowOff>7893</xdr:rowOff>
    </xdr:from>
    <xdr:to>
      <xdr:col>13</xdr:col>
      <xdr:colOff>458289</xdr:colOff>
      <xdr:row>15</xdr:row>
      <xdr:rowOff>116750</xdr:rowOff>
    </xdr:to>
    <xdr:pic macro="[0]!Sheet1.Change_InfoBox_Donut_Visibility">
      <xdr:nvPicPr>
        <xdr:cNvPr id="80" name="InfoButton_Donut" descr="Information">
          <a:extLst>
            <a:ext uri="{FF2B5EF4-FFF2-40B4-BE49-F238E27FC236}">
              <a16:creationId xmlns:a16="http://schemas.microsoft.com/office/drawing/2014/main" id="{920CAEB4-4BBA-428E-A1AC-4C1BF7DB9AC9}"/>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tretch>
          <a:fillRect/>
        </a:stretch>
      </xdr:blipFill>
      <xdr:spPr>
        <a:xfrm>
          <a:off x="8089175" y="2541543"/>
          <a:ext cx="293914" cy="289832"/>
        </a:xfrm>
        <a:prstGeom prst="rect">
          <a:avLst/>
        </a:prstGeom>
      </xdr:spPr>
    </xdr:pic>
    <xdr:clientData/>
  </xdr:twoCellAnchor>
  <xdr:twoCellAnchor>
    <xdr:from>
      <xdr:col>10</xdr:col>
      <xdr:colOff>604157</xdr:colOff>
      <xdr:row>15</xdr:row>
      <xdr:rowOff>129544</xdr:rowOff>
    </xdr:from>
    <xdr:to>
      <xdr:col>13</xdr:col>
      <xdr:colOff>419101</xdr:colOff>
      <xdr:row>21</xdr:row>
      <xdr:rowOff>66407</xdr:rowOff>
    </xdr:to>
    <xdr:grpSp>
      <xdr:nvGrpSpPr>
        <xdr:cNvPr id="81" name="InfoBox_Donut" hidden="1">
          <a:extLst>
            <a:ext uri="{FF2B5EF4-FFF2-40B4-BE49-F238E27FC236}">
              <a16:creationId xmlns:a16="http://schemas.microsoft.com/office/drawing/2014/main" id="{67AD7107-890A-4934-8902-1752E02375C2}"/>
            </a:ext>
          </a:extLst>
        </xdr:cNvPr>
        <xdr:cNvGrpSpPr/>
      </xdr:nvGrpSpPr>
      <xdr:grpSpPr>
        <a:xfrm>
          <a:off x="6700157" y="2872744"/>
          <a:ext cx="1643744" cy="1034143"/>
          <a:chOff x="1709056" y="2960916"/>
          <a:chExt cx="1817915" cy="1153885"/>
        </a:xfrm>
      </xdr:grpSpPr>
      <xdr:sp macro="" textlink="">
        <xdr:nvSpPr>
          <xdr:cNvPr id="82" name="Rectangle: Rounded Corners 81" hidden="1">
            <a:extLst>
              <a:ext uri="{FF2B5EF4-FFF2-40B4-BE49-F238E27FC236}">
                <a16:creationId xmlns:a16="http://schemas.microsoft.com/office/drawing/2014/main" id="{F95EC990-9956-46EA-B8B1-684755A3DC17}"/>
              </a:ext>
            </a:extLst>
          </xdr:cNvPr>
          <xdr:cNvSpPr/>
        </xdr:nvSpPr>
        <xdr:spPr>
          <a:xfrm>
            <a:off x="1709056" y="2971799"/>
            <a:ext cx="1817915" cy="1143001"/>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3" name="TextBox 82" hidden="1">
            <a:extLst>
              <a:ext uri="{FF2B5EF4-FFF2-40B4-BE49-F238E27FC236}">
                <a16:creationId xmlns:a16="http://schemas.microsoft.com/office/drawing/2014/main" id="{9B13C738-9F25-4FE5-9076-005EE13C3AD2}"/>
              </a:ext>
            </a:extLst>
          </xdr:cNvPr>
          <xdr:cNvSpPr txBox="1"/>
        </xdr:nvSpPr>
        <xdr:spPr>
          <a:xfrm>
            <a:off x="1709056" y="2960916"/>
            <a:ext cx="1807029" cy="1153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Times New Roman" panose="02020603050405020304" pitchFamily="18" charset="0"/>
                <a:cs typeface="Times New Roman" panose="02020603050405020304" pitchFamily="18" charset="0"/>
              </a:rPr>
              <a:t>Shows</a:t>
            </a:r>
            <a:r>
              <a:rPr lang="en-US" sz="1100" baseline="0">
                <a:latin typeface="Times New Roman" panose="02020603050405020304" pitchFamily="18" charset="0"/>
                <a:cs typeface="Times New Roman" panose="02020603050405020304" pitchFamily="18" charset="0"/>
              </a:rPr>
              <a:t> how the licenses are distributed amongst different components and ranks within the organization.</a:t>
            </a:r>
            <a:endParaRPr lang="en-US" sz="1100">
              <a:latin typeface="Times New Roman" panose="02020603050405020304" pitchFamily="18" charset="0"/>
              <a:cs typeface="Times New Roman" panose="02020603050405020304" pitchFamily="18" charset="0"/>
            </a:endParaRPr>
          </a:p>
        </xdr:txBody>
      </xdr:sp>
    </xdr:grpSp>
    <xdr:clientData/>
  </xdr:twoCellAnchor>
  <xdr:twoCellAnchor editAs="oneCell">
    <xdr:from>
      <xdr:col>19</xdr:col>
      <xdr:colOff>42455</xdr:colOff>
      <xdr:row>4</xdr:row>
      <xdr:rowOff>116478</xdr:rowOff>
    </xdr:from>
    <xdr:to>
      <xdr:col>19</xdr:col>
      <xdr:colOff>336369</xdr:colOff>
      <xdr:row>6</xdr:row>
      <xdr:rowOff>42455</xdr:rowOff>
    </xdr:to>
    <xdr:pic macro="[0]!Sheet1.Change_InfoBox_Availability_Visibility">
      <xdr:nvPicPr>
        <xdr:cNvPr id="84" name="InfoButton_Availability" descr="Information">
          <a:extLst>
            <a:ext uri="{FF2B5EF4-FFF2-40B4-BE49-F238E27FC236}">
              <a16:creationId xmlns:a16="http://schemas.microsoft.com/office/drawing/2014/main" id="{A32E19DE-F4C8-483D-8283-0ED2A1A50094}"/>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tretch>
          <a:fillRect/>
        </a:stretch>
      </xdr:blipFill>
      <xdr:spPr>
        <a:xfrm>
          <a:off x="11624855" y="840378"/>
          <a:ext cx="293914" cy="287927"/>
        </a:xfrm>
        <a:prstGeom prst="rect">
          <a:avLst/>
        </a:prstGeom>
      </xdr:spPr>
    </xdr:pic>
    <xdr:clientData/>
  </xdr:twoCellAnchor>
  <xdr:twoCellAnchor>
    <xdr:from>
      <xdr:col>16</xdr:col>
      <xdr:colOff>482237</xdr:colOff>
      <xdr:row>6</xdr:row>
      <xdr:rowOff>45724</xdr:rowOff>
    </xdr:from>
    <xdr:to>
      <xdr:col>19</xdr:col>
      <xdr:colOff>297181</xdr:colOff>
      <xdr:row>11</xdr:row>
      <xdr:rowOff>165467</xdr:rowOff>
    </xdr:to>
    <xdr:grpSp>
      <xdr:nvGrpSpPr>
        <xdr:cNvPr id="85" name="InfoBox_Availability" hidden="1">
          <a:extLst>
            <a:ext uri="{FF2B5EF4-FFF2-40B4-BE49-F238E27FC236}">
              <a16:creationId xmlns:a16="http://schemas.microsoft.com/office/drawing/2014/main" id="{7C4F1490-D380-44D9-94E4-C6B5A7BB21AA}"/>
            </a:ext>
          </a:extLst>
        </xdr:cNvPr>
        <xdr:cNvGrpSpPr/>
      </xdr:nvGrpSpPr>
      <xdr:grpSpPr>
        <a:xfrm>
          <a:off x="10235837" y="1143004"/>
          <a:ext cx="1643744" cy="1034143"/>
          <a:chOff x="1709056" y="2960916"/>
          <a:chExt cx="1817915" cy="1153885"/>
        </a:xfrm>
      </xdr:grpSpPr>
      <xdr:sp macro="" textlink="">
        <xdr:nvSpPr>
          <xdr:cNvPr id="86" name="Rectangle: Rounded Corners 85" hidden="1">
            <a:extLst>
              <a:ext uri="{FF2B5EF4-FFF2-40B4-BE49-F238E27FC236}">
                <a16:creationId xmlns:a16="http://schemas.microsoft.com/office/drawing/2014/main" id="{A879156D-1654-44E9-9FE5-D1A3C19B5FFF}"/>
              </a:ext>
            </a:extLst>
          </xdr:cNvPr>
          <xdr:cNvSpPr/>
        </xdr:nvSpPr>
        <xdr:spPr>
          <a:xfrm>
            <a:off x="1709056" y="2971799"/>
            <a:ext cx="1817915" cy="1143001"/>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7" name="TextBox 86" hidden="1">
            <a:extLst>
              <a:ext uri="{FF2B5EF4-FFF2-40B4-BE49-F238E27FC236}">
                <a16:creationId xmlns:a16="http://schemas.microsoft.com/office/drawing/2014/main" id="{590D5AAD-5342-495B-B99D-331299B60239}"/>
              </a:ext>
            </a:extLst>
          </xdr:cNvPr>
          <xdr:cNvSpPr txBox="1"/>
        </xdr:nvSpPr>
        <xdr:spPr>
          <a:xfrm>
            <a:off x="1709056" y="2960916"/>
            <a:ext cx="1807029" cy="1153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Times New Roman" panose="02020603050405020304" pitchFamily="18" charset="0"/>
                <a:cs typeface="Times New Roman" panose="02020603050405020304" pitchFamily="18" charset="0"/>
              </a:rPr>
              <a:t>Graphic</a:t>
            </a:r>
            <a:r>
              <a:rPr lang="en-US" sz="1100" baseline="0">
                <a:latin typeface="Times New Roman" panose="02020603050405020304" pitchFamily="18" charset="0"/>
                <a:cs typeface="Times New Roman" panose="02020603050405020304" pitchFamily="18" charset="0"/>
              </a:rPr>
              <a:t> for viewing different license types and their respective availabilities.</a:t>
            </a:r>
            <a:endParaRPr lang="en-US" sz="1100">
              <a:latin typeface="Times New Roman" panose="02020603050405020304" pitchFamily="18" charset="0"/>
              <a:cs typeface="Times New Roman" panose="02020603050405020304" pitchFamily="18" charset="0"/>
            </a:endParaRPr>
          </a:p>
        </xdr:txBody>
      </xdr:sp>
    </xdr:grpSp>
    <xdr:clientData/>
  </xdr:twoCellAnchor>
  <xdr:twoCellAnchor>
    <xdr:from>
      <xdr:col>6</xdr:col>
      <xdr:colOff>392430</xdr:colOff>
      <xdr:row>3</xdr:row>
      <xdr:rowOff>62865</xdr:rowOff>
    </xdr:from>
    <xdr:to>
      <xdr:col>8</xdr:col>
      <xdr:colOff>605790</xdr:colOff>
      <xdr:row>11</xdr:row>
      <xdr:rowOff>93345</xdr:rowOff>
    </xdr:to>
    <xdr:grpSp>
      <xdr:nvGrpSpPr>
        <xdr:cNvPr id="48" name="Settings_Frame" hidden="1">
          <a:extLst>
            <a:ext uri="{FF2B5EF4-FFF2-40B4-BE49-F238E27FC236}">
              <a16:creationId xmlns:a16="http://schemas.microsoft.com/office/drawing/2014/main" id="{6D08ACE4-FD3C-4427-91BF-B4D381101B2C}"/>
            </a:ext>
          </a:extLst>
        </xdr:cNvPr>
        <xdr:cNvGrpSpPr/>
      </xdr:nvGrpSpPr>
      <xdr:grpSpPr>
        <a:xfrm>
          <a:off x="4050030" y="611505"/>
          <a:ext cx="1432560" cy="1493520"/>
          <a:chOff x="1440180" y="640080"/>
          <a:chExt cx="1432560" cy="1493520"/>
        </a:xfrm>
      </xdr:grpSpPr>
      <xdr:sp macro="" textlink="">
        <xdr:nvSpPr>
          <xdr:cNvPr id="23" name="Speech Bubble: Rectangle with Corners Rounded 22" hidden="1">
            <a:extLst>
              <a:ext uri="{FF2B5EF4-FFF2-40B4-BE49-F238E27FC236}">
                <a16:creationId xmlns:a16="http://schemas.microsoft.com/office/drawing/2014/main" id="{67852E74-343F-416C-B92C-5793CCDDD498}"/>
              </a:ext>
            </a:extLst>
          </xdr:cNvPr>
          <xdr:cNvSpPr/>
        </xdr:nvSpPr>
        <xdr:spPr>
          <a:xfrm flipV="1">
            <a:off x="1440180" y="640080"/>
            <a:ext cx="1432560" cy="1493520"/>
          </a:xfrm>
          <a:prstGeom prst="wedgeRoundRectCallout">
            <a:avLst>
              <a:gd name="adj1" fmla="val -20833"/>
              <a:gd name="adj2" fmla="val 56352"/>
              <a:gd name="adj3" fmla="val 1666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TextBox 87" hidden="1">
            <a:extLst>
              <a:ext uri="{FF2B5EF4-FFF2-40B4-BE49-F238E27FC236}">
                <a16:creationId xmlns:a16="http://schemas.microsoft.com/office/drawing/2014/main" id="{40B9F1F0-F608-4FF5-B9FA-D267B69CE3EC}"/>
              </a:ext>
            </a:extLst>
          </xdr:cNvPr>
          <xdr:cNvSpPr txBox="1"/>
        </xdr:nvSpPr>
        <xdr:spPr>
          <a:xfrm>
            <a:off x="1440180" y="1501140"/>
            <a:ext cx="143256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a:solidFill>
                  <a:srgbClr val="002060"/>
                </a:solidFill>
                <a:latin typeface="Times New Roman" panose="02020603050405020304" pitchFamily="18" charset="0"/>
                <a:cs typeface="Times New Roman" panose="02020603050405020304" pitchFamily="18" charset="0"/>
              </a:rPr>
              <a:t>Info Buttons Visibility</a:t>
            </a:r>
          </a:p>
        </xdr:txBody>
      </xdr:sp>
      <xdr:sp macro="" textlink="">
        <xdr:nvSpPr>
          <xdr:cNvPr id="89" name="TextBox 88" hidden="1">
            <a:extLst>
              <a:ext uri="{FF2B5EF4-FFF2-40B4-BE49-F238E27FC236}">
                <a16:creationId xmlns:a16="http://schemas.microsoft.com/office/drawing/2014/main" id="{5D5D41B1-00FF-4D81-BE6D-182FC8E6E7CE}"/>
              </a:ext>
            </a:extLst>
          </xdr:cNvPr>
          <xdr:cNvSpPr txBox="1"/>
        </xdr:nvSpPr>
        <xdr:spPr>
          <a:xfrm>
            <a:off x="1440180" y="784860"/>
            <a:ext cx="143256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a:solidFill>
                  <a:srgbClr val="002060"/>
                </a:solidFill>
                <a:latin typeface="Times New Roman" panose="02020603050405020304" pitchFamily="18" charset="0"/>
                <a:cs typeface="Times New Roman" panose="02020603050405020304" pitchFamily="18" charset="0"/>
              </a:rPr>
              <a:t>Color Theme</a:t>
            </a:r>
          </a:p>
        </xdr:txBody>
      </xdr:sp>
    </xdr:grpSp>
    <xdr:clientData/>
  </xdr:twoCellAnchor>
  <xdr:twoCellAnchor>
    <xdr:from>
      <xdr:col>6</xdr:col>
      <xdr:colOff>445770</xdr:colOff>
      <xdr:row>5</xdr:row>
      <xdr:rowOff>123825</xdr:rowOff>
    </xdr:from>
    <xdr:to>
      <xdr:col>7</xdr:col>
      <xdr:colOff>476250</xdr:colOff>
      <xdr:row>6</xdr:row>
      <xdr:rowOff>123825</xdr:rowOff>
    </xdr:to>
    <xdr:sp macro="[0]!Sheet1.Display_Theme_1" textlink="">
      <xdr:nvSpPr>
        <xdr:cNvPr id="35" name="Theme_Button_1" hidden="1">
          <a:extLst>
            <a:ext uri="{FF2B5EF4-FFF2-40B4-BE49-F238E27FC236}">
              <a16:creationId xmlns:a16="http://schemas.microsoft.com/office/drawing/2014/main" id="{FFA6563F-879A-4873-A3F1-4A991FF5326B}"/>
            </a:ext>
          </a:extLst>
        </xdr:cNvPr>
        <xdr:cNvSpPr/>
      </xdr:nvSpPr>
      <xdr:spPr>
        <a:xfrm>
          <a:off x="4103370" y="1028700"/>
          <a:ext cx="640080" cy="180975"/>
        </a:xfrm>
        <a:prstGeom prst="roundRect">
          <a:avLst>
            <a:gd name="adj" fmla="val 50000"/>
          </a:avLst>
        </a:prstGeom>
        <a:solidFill>
          <a:srgbClr val="0070C0">
            <a:alpha val="0"/>
          </a:srgb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000000"/>
              </a:solidFill>
              <a:latin typeface="Times New Roman" panose="02020603050405020304" pitchFamily="18" charset="0"/>
              <a:cs typeface="Times New Roman" panose="02020603050405020304" pitchFamily="18" charset="0"/>
            </a:rPr>
            <a:t>Theme</a:t>
          </a:r>
          <a:r>
            <a:rPr lang="en-US" sz="900" baseline="0">
              <a:solidFill>
                <a:srgbClr val="000000"/>
              </a:solidFill>
              <a:latin typeface="Times New Roman" panose="02020603050405020304" pitchFamily="18" charset="0"/>
              <a:cs typeface="Times New Roman" panose="02020603050405020304" pitchFamily="18" charset="0"/>
            </a:rPr>
            <a:t> 1</a:t>
          </a:r>
          <a:endParaRPr lang="en-US" sz="900">
            <a:solidFill>
              <a:srgbClr val="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521970</xdr:colOff>
      <xdr:row>5</xdr:row>
      <xdr:rowOff>123825</xdr:rowOff>
    </xdr:from>
    <xdr:to>
      <xdr:col>8</xdr:col>
      <xdr:colOff>552450</xdr:colOff>
      <xdr:row>6</xdr:row>
      <xdr:rowOff>123825</xdr:rowOff>
    </xdr:to>
    <xdr:sp macro="[0]!Sheet1.Display_Theme_2" textlink="">
      <xdr:nvSpPr>
        <xdr:cNvPr id="91" name="Theme_Button_2" hidden="1">
          <a:extLst>
            <a:ext uri="{FF2B5EF4-FFF2-40B4-BE49-F238E27FC236}">
              <a16:creationId xmlns:a16="http://schemas.microsoft.com/office/drawing/2014/main" id="{191ECF27-9B00-44E1-A59D-8F75F8ABEC1B}"/>
            </a:ext>
          </a:extLst>
        </xdr:cNvPr>
        <xdr:cNvSpPr/>
      </xdr:nvSpPr>
      <xdr:spPr>
        <a:xfrm>
          <a:off x="4789170" y="1028700"/>
          <a:ext cx="640080" cy="180975"/>
        </a:xfrm>
        <a:prstGeom prst="roundRect">
          <a:avLst>
            <a:gd name="adj" fmla="val 50000"/>
          </a:avLst>
        </a:prstGeom>
        <a:solidFill>
          <a:srgbClr val="0070C0">
            <a:alpha val="0"/>
          </a:srgb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000000"/>
              </a:solidFill>
              <a:latin typeface="Times New Roman" panose="02020603050405020304" pitchFamily="18" charset="0"/>
              <a:cs typeface="Times New Roman" panose="02020603050405020304" pitchFamily="18" charset="0"/>
            </a:rPr>
            <a:t>Theme</a:t>
          </a:r>
          <a:r>
            <a:rPr lang="en-US" sz="900" baseline="0">
              <a:solidFill>
                <a:srgbClr val="000000"/>
              </a:solidFill>
              <a:latin typeface="Times New Roman" panose="02020603050405020304" pitchFamily="18" charset="0"/>
              <a:cs typeface="Times New Roman" panose="02020603050405020304" pitchFamily="18" charset="0"/>
            </a:rPr>
            <a:t> 2</a:t>
          </a:r>
          <a:endParaRPr lang="en-US" sz="900">
            <a:solidFill>
              <a:srgbClr val="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445770</xdr:colOff>
      <xdr:row>6</xdr:row>
      <xdr:rowOff>167640</xdr:rowOff>
    </xdr:from>
    <xdr:to>
      <xdr:col>7</xdr:col>
      <xdr:colOff>476250</xdr:colOff>
      <xdr:row>7</xdr:row>
      <xdr:rowOff>167640</xdr:rowOff>
    </xdr:to>
    <xdr:sp macro="[0]!Sheet1.Display_Theme_3" textlink="">
      <xdr:nvSpPr>
        <xdr:cNvPr id="92" name="Theme_Button_3" hidden="1">
          <a:extLst>
            <a:ext uri="{FF2B5EF4-FFF2-40B4-BE49-F238E27FC236}">
              <a16:creationId xmlns:a16="http://schemas.microsoft.com/office/drawing/2014/main" id="{E3707A4C-2B6F-4FAF-8471-B8ACF01A2645}"/>
            </a:ext>
          </a:extLst>
        </xdr:cNvPr>
        <xdr:cNvSpPr/>
      </xdr:nvSpPr>
      <xdr:spPr>
        <a:xfrm>
          <a:off x="4103370" y="1253490"/>
          <a:ext cx="640080" cy="180975"/>
        </a:xfrm>
        <a:prstGeom prst="roundRect">
          <a:avLst>
            <a:gd name="adj" fmla="val 50000"/>
          </a:avLst>
        </a:prstGeom>
        <a:solidFill>
          <a:srgbClr val="0070C0">
            <a:alpha val="0"/>
          </a:srgb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000000"/>
              </a:solidFill>
              <a:latin typeface="Times New Roman" panose="02020603050405020304" pitchFamily="18" charset="0"/>
              <a:cs typeface="Times New Roman" panose="02020603050405020304" pitchFamily="18" charset="0"/>
            </a:rPr>
            <a:t>Theme</a:t>
          </a:r>
          <a:r>
            <a:rPr lang="en-US" sz="900" baseline="0">
              <a:solidFill>
                <a:srgbClr val="000000"/>
              </a:solidFill>
              <a:latin typeface="Times New Roman" panose="02020603050405020304" pitchFamily="18" charset="0"/>
              <a:cs typeface="Times New Roman" panose="02020603050405020304" pitchFamily="18" charset="0"/>
            </a:rPr>
            <a:t> 3</a:t>
          </a:r>
          <a:endParaRPr lang="en-US" sz="900">
            <a:solidFill>
              <a:srgbClr val="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521970</xdr:colOff>
      <xdr:row>6</xdr:row>
      <xdr:rowOff>167640</xdr:rowOff>
    </xdr:from>
    <xdr:to>
      <xdr:col>8</xdr:col>
      <xdr:colOff>552450</xdr:colOff>
      <xdr:row>7</xdr:row>
      <xdr:rowOff>167640</xdr:rowOff>
    </xdr:to>
    <xdr:sp macro="[0]!Sheet1.Display_Theme_4" textlink="">
      <xdr:nvSpPr>
        <xdr:cNvPr id="93" name="Theme_Button_4" hidden="1">
          <a:extLst>
            <a:ext uri="{FF2B5EF4-FFF2-40B4-BE49-F238E27FC236}">
              <a16:creationId xmlns:a16="http://schemas.microsoft.com/office/drawing/2014/main" id="{ADAEA3AA-ADF5-4394-96F3-9EE9B11B4917}"/>
            </a:ext>
          </a:extLst>
        </xdr:cNvPr>
        <xdr:cNvSpPr/>
      </xdr:nvSpPr>
      <xdr:spPr>
        <a:xfrm>
          <a:off x="4789170" y="1253490"/>
          <a:ext cx="640080" cy="180975"/>
        </a:xfrm>
        <a:prstGeom prst="roundRect">
          <a:avLst>
            <a:gd name="adj" fmla="val 50000"/>
          </a:avLst>
        </a:prstGeom>
        <a:solidFill>
          <a:srgbClr val="0070C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FFFFFF"/>
              </a:solidFill>
              <a:latin typeface="Times New Roman" panose="02020603050405020304" pitchFamily="18" charset="0"/>
              <a:cs typeface="Times New Roman" panose="02020603050405020304" pitchFamily="18" charset="0"/>
            </a:rPr>
            <a:t>Theme</a:t>
          </a:r>
          <a:r>
            <a:rPr lang="en-US" sz="900" baseline="0">
              <a:solidFill>
                <a:srgbClr val="FFFFFF"/>
              </a:solidFill>
              <a:latin typeface="Times New Roman" panose="02020603050405020304" pitchFamily="18" charset="0"/>
              <a:cs typeface="Times New Roman" panose="02020603050405020304" pitchFamily="18" charset="0"/>
            </a:rPr>
            <a:t> 4</a:t>
          </a:r>
          <a:endParaRPr lang="en-US" sz="900">
            <a:solidFill>
              <a:srgbClr val="FFFFFF"/>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25810</xdr:colOff>
      <xdr:row>0</xdr:row>
      <xdr:rowOff>149594</xdr:rowOff>
    </xdr:from>
    <xdr:to>
      <xdr:col>7</xdr:col>
      <xdr:colOff>362245</xdr:colOff>
      <xdr:row>2</xdr:row>
      <xdr:rowOff>152173</xdr:rowOff>
    </xdr:to>
    <xdr:pic macro="[0]!Sheet1.Change_Settings_Visibility">
      <xdr:nvPicPr>
        <xdr:cNvPr id="41" name="Settings_Button" descr="Single gear">
          <a:extLst>
            <a:ext uri="{FF2B5EF4-FFF2-40B4-BE49-F238E27FC236}">
              <a16:creationId xmlns:a16="http://schemas.microsoft.com/office/drawing/2014/main" id="{10754890-74B6-4DCD-8D27-40FFE64F293F}"/>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rcRect/>
        <a:stretch/>
      </xdr:blipFill>
      <xdr:spPr>
        <a:xfrm>
          <a:off x="4293010" y="149594"/>
          <a:ext cx="336435" cy="364529"/>
        </a:xfrm>
        <a:prstGeom prst="ellipse">
          <a:avLst/>
        </a:prstGeom>
        <a:effectLst>
          <a:outerShdw blurRad="76200" sx="110000" sy="110000" algn="ctr" rotWithShape="0">
            <a:schemeClr val="bg2">
              <a:alpha val="40000"/>
            </a:schemeClr>
          </a:outerShdw>
        </a:effectLst>
      </xdr:spPr>
    </xdr:pic>
    <xdr:clientData/>
  </xdr:twoCellAnchor>
  <xdr:twoCellAnchor>
    <xdr:from>
      <xdr:col>7</xdr:col>
      <xdr:colOff>428625</xdr:colOff>
      <xdr:row>9</xdr:row>
      <xdr:rowOff>95251</xdr:rowOff>
    </xdr:from>
    <xdr:to>
      <xdr:col>8</xdr:col>
      <xdr:colOff>447675</xdr:colOff>
      <xdr:row>10</xdr:row>
      <xdr:rowOff>123826</xdr:rowOff>
    </xdr:to>
    <xdr:sp macro="" textlink="">
      <xdr:nvSpPr>
        <xdr:cNvPr id="56" name="Button_Text" hidden="1">
          <a:extLst>
            <a:ext uri="{FF2B5EF4-FFF2-40B4-BE49-F238E27FC236}">
              <a16:creationId xmlns:a16="http://schemas.microsoft.com/office/drawing/2014/main" id="{C3236CCB-511F-4BFA-AD1B-8BA61FC1C246}"/>
            </a:ext>
          </a:extLst>
        </xdr:cNvPr>
        <xdr:cNvSpPr txBox="1"/>
      </xdr:nvSpPr>
      <xdr:spPr>
        <a:xfrm>
          <a:off x="4695825" y="1724026"/>
          <a:ext cx="62865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a:latin typeface="Times New Roman" panose="02020603050405020304" pitchFamily="18" charset="0"/>
              <a:cs typeface="Times New Roman" panose="02020603050405020304" pitchFamily="18" charset="0"/>
            </a:rPr>
            <a:t>On</a:t>
          </a:r>
        </a:p>
      </xdr:txBody>
    </xdr:sp>
    <xdr:clientData/>
  </xdr:twoCellAnchor>
  <xdr:twoCellAnchor>
    <xdr:from>
      <xdr:col>7</xdr:col>
      <xdr:colOff>1</xdr:colOff>
      <xdr:row>9</xdr:row>
      <xdr:rowOff>115661</xdr:rowOff>
    </xdr:from>
    <xdr:to>
      <xdr:col>7</xdr:col>
      <xdr:colOff>323851</xdr:colOff>
      <xdr:row>10</xdr:row>
      <xdr:rowOff>79194</xdr:rowOff>
    </xdr:to>
    <xdr:sp macro="[0]!Sheet1.Toggle_Info" textlink="">
      <xdr:nvSpPr>
        <xdr:cNvPr id="115" name="Toggle_Button_Back" hidden="1">
          <a:extLst>
            <a:ext uri="{FF2B5EF4-FFF2-40B4-BE49-F238E27FC236}">
              <a16:creationId xmlns:a16="http://schemas.microsoft.com/office/drawing/2014/main" id="{4E3A03FA-D9AA-4ECE-B278-1205A0B2F04A}"/>
            </a:ext>
          </a:extLst>
        </xdr:cNvPr>
        <xdr:cNvSpPr/>
      </xdr:nvSpPr>
      <xdr:spPr>
        <a:xfrm>
          <a:off x="4267201" y="1744436"/>
          <a:ext cx="323850" cy="144508"/>
        </a:xfrm>
        <a:prstGeom prst="roundRect">
          <a:avLst>
            <a:gd name="adj" fmla="val 50000"/>
          </a:avLst>
        </a:prstGeom>
        <a:solidFill>
          <a:srgbClr val="99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171450</xdr:colOff>
      <xdr:row>9</xdr:row>
      <xdr:rowOff>95250</xdr:rowOff>
    </xdr:from>
    <xdr:to>
      <xdr:col>7</xdr:col>
      <xdr:colOff>352424</xdr:colOff>
      <xdr:row>10</xdr:row>
      <xdr:rowOff>104774</xdr:rowOff>
    </xdr:to>
    <xdr:sp macro="[0]!Sheet1.Toggle_Info" textlink="">
      <xdr:nvSpPr>
        <xdr:cNvPr id="114" name="Toggle_Button_Front" hidden="1">
          <a:extLst>
            <a:ext uri="{FF2B5EF4-FFF2-40B4-BE49-F238E27FC236}">
              <a16:creationId xmlns:a16="http://schemas.microsoft.com/office/drawing/2014/main" id="{590C63FD-D931-435D-8157-1D99A7B400B7}"/>
            </a:ext>
          </a:extLst>
        </xdr:cNvPr>
        <xdr:cNvSpPr/>
      </xdr:nvSpPr>
      <xdr:spPr>
        <a:xfrm>
          <a:off x="4438650" y="1741170"/>
          <a:ext cx="180974" cy="192404"/>
        </a:xfrm>
        <a:prstGeom prst="ellipse">
          <a:avLst/>
        </a:prstGeom>
        <a:solidFill>
          <a:srgbClr val="0066CC"/>
        </a:solidFill>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c:userShapes xmlns:c="http://schemas.openxmlformats.org/drawingml/2006/chart">
  <cdr:relSizeAnchor xmlns:cdr="http://schemas.openxmlformats.org/drawingml/2006/chartDrawing">
    <cdr:from>
      <cdr:x>0.33846</cdr:x>
      <cdr:y>0.19598</cdr:y>
    </cdr:from>
    <cdr:to>
      <cdr:x>0.65641</cdr:x>
      <cdr:y>0.82412</cdr:y>
    </cdr:to>
    <cdr:sp macro="" textlink="PivotTables!$M$2">
      <cdr:nvSpPr>
        <cdr:cNvPr id="2" name="TextBox 1">
          <a:extLst xmlns:a="http://schemas.openxmlformats.org/drawingml/2006/main">
            <a:ext uri="{FF2B5EF4-FFF2-40B4-BE49-F238E27FC236}">
              <a16:creationId xmlns:a16="http://schemas.microsoft.com/office/drawing/2014/main" id="{8EB7EFA8-D29C-4984-BB0D-70F083FD831F}"/>
            </a:ext>
          </a:extLst>
        </cdr:cNvPr>
        <cdr:cNvSpPr txBox="1"/>
      </cdr:nvSpPr>
      <cdr:spPr>
        <a:xfrm xmlns:a="http://schemas.openxmlformats.org/drawingml/2006/main">
          <a:off x="1005841" y="297180"/>
          <a:ext cx="944880" cy="952499"/>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05DB7C4C-7367-48BB-AC14-F6416BF3EF08}" type="TxLink">
            <a:rPr lang="en-US" sz="1800" b="0" i="0" u="none" strike="noStrike">
              <a:solidFill>
                <a:schemeClr val="bg1"/>
              </a:solidFill>
              <a:latin typeface="Times New Roman" panose="02020603050405020304" pitchFamily="18" charset="0"/>
              <a:cs typeface="Times New Roman" panose="02020603050405020304" pitchFamily="18" charset="0"/>
            </a:rPr>
            <a:pPr algn="ctr"/>
            <a:t>56%</a:t>
          </a:fld>
          <a:endParaRPr lang="en-US" sz="1800" b="0">
            <a:solidFill>
              <a:schemeClr val="bg1"/>
            </a:solidFill>
            <a:latin typeface="Times New Roman" panose="02020603050405020304" pitchFamily="18" charset="0"/>
            <a:cs typeface="Times New Roman" panose="02020603050405020304" pitchFamily="18" charset="0"/>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8</xdr:col>
      <xdr:colOff>320040</xdr:colOff>
      <xdr:row>7</xdr:row>
      <xdr:rowOff>144780</xdr:rowOff>
    </xdr:from>
    <xdr:to>
      <xdr:col>11</xdr:col>
      <xdr:colOff>144780</xdr:colOff>
      <xdr:row>17</xdr:row>
      <xdr:rowOff>133350</xdr:rowOff>
    </xdr:to>
    <xdr:graphicFrame macro="">
      <xdr:nvGraphicFramePr>
        <xdr:cNvPr id="3" name="Chart 2">
          <a:extLst>
            <a:ext uri="{FF2B5EF4-FFF2-40B4-BE49-F238E27FC236}">
              <a16:creationId xmlns:a16="http://schemas.microsoft.com/office/drawing/2014/main" id="{ADF3CC8D-EB47-403E-9A00-1AD2281790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678180</xdr:colOff>
      <xdr:row>7</xdr:row>
      <xdr:rowOff>179070</xdr:rowOff>
    </xdr:from>
    <xdr:to>
      <xdr:col>21</xdr:col>
      <xdr:colOff>365760</xdr:colOff>
      <xdr:row>22</xdr:row>
      <xdr:rowOff>179070</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D90B1679-43EE-4C7A-BD1F-4EBD765AFC5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0408920" y="1459230"/>
              <a:ext cx="593598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23</xdr:col>
      <xdr:colOff>601980</xdr:colOff>
      <xdr:row>6</xdr:row>
      <xdr:rowOff>83820</xdr:rowOff>
    </xdr:from>
    <xdr:to>
      <xdr:col>26</xdr:col>
      <xdr:colOff>106680</xdr:colOff>
      <xdr:row>16</xdr:row>
      <xdr:rowOff>26670</xdr:rowOff>
    </xdr:to>
    <xdr:graphicFrame macro="">
      <xdr:nvGraphicFramePr>
        <xdr:cNvPr id="6" name="Chart 5">
          <a:extLst>
            <a:ext uri="{FF2B5EF4-FFF2-40B4-BE49-F238E27FC236}">
              <a16:creationId xmlns:a16="http://schemas.microsoft.com/office/drawing/2014/main" id="{187AEA49-E2EA-4631-AF2E-42C94E285E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594360</xdr:colOff>
      <xdr:row>16</xdr:row>
      <xdr:rowOff>76200</xdr:rowOff>
    </xdr:from>
    <xdr:to>
      <xdr:col>25</xdr:col>
      <xdr:colOff>548640</xdr:colOff>
      <xdr:row>19</xdr:row>
      <xdr:rowOff>7620</xdr:rowOff>
    </xdr:to>
    <xdr:sp macro="" textlink="$AA$3">
      <xdr:nvSpPr>
        <xdr:cNvPr id="7" name="TextBox 6">
          <a:extLst>
            <a:ext uri="{FF2B5EF4-FFF2-40B4-BE49-F238E27FC236}">
              <a16:creationId xmlns:a16="http://schemas.microsoft.com/office/drawing/2014/main" id="{54F72F23-6A7F-430C-8B70-24B49EE38DD0}"/>
            </a:ext>
          </a:extLst>
        </xdr:cNvPr>
        <xdr:cNvSpPr txBox="1"/>
      </xdr:nvSpPr>
      <xdr:spPr>
        <a:xfrm>
          <a:off x="17914620" y="3002280"/>
          <a:ext cx="815340" cy="480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4EBF376-851C-4B2F-95E7-9EEAD60753D5}" type="TxLink">
            <a:rPr lang="en-US" sz="2800" b="0" i="0" u="none" strike="noStrike">
              <a:solidFill>
                <a:srgbClr val="000000"/>
              </a:solidFill>
              <a:latin typeface="Calibri"/>
              <a:cs typeface="Calibri"/>
            </a:rPr>
            <a:pPr/>
            <a:t>67%</a:t>
          </a:fld>
          <a:endParaRPr lang="en-US" sz="2800"/>
        </a:p>
      </xdr:txBody>
    </xdr:sp>
    <xdr:clientData/>
  </xdr:twoCellAnchor>
  <xdr:twoCellAnchor>
    <xdr:from>
      <xdr:col>27</xdr:col>
      <xdr:colOff>510540</xdr:colOff>
      <xdr:row>5</xdr:row>
      <xdr:rowOff>76200</xdr:rowOff>
    </xdr:from>
    <xdr:to>
      <xdr:col>30</xdr:col>
      <xdr:colOff>38100</xdr:colOff>
      <xdr:row>16</xdr:row>
      <xdr:rowOff>102870</xdr:rowOff>
    </xdr:to>
    <xdr:graphicFrame macro="">
      <xdr:nvGraphicFramePr>
        <xdr:cNvPr id="8" name="Chart 7">
          <a:extLst>
            <a:ext uri="{FF2B5EF4-FFF2-40B4-BE49-F238E27FC236}">
              <a16:creationId xmlns:a16="http://schemas.microsoft.com/office/drawing/2014/main" id="{CBA9B780-E803-47FF-A6C1-97644D9858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ghtwing" refreshedDate="44120.692583217591" createdVersion="6" refreshedVersion="6" minRefreshableVersion="3" recordCount="9" xr:uid="{BFD6BE90-6A14-4B86-9B85-9B8C157CC675}">
  <cacheSource type="worksheet">
    <worksheetSource name="Data_Table"/>
  </cacheSource>
  <cacheFields count="9">
    <cacheField name="Date" numFmtId="14">
      <sharedItems containsSemiMixedTypes="0" containsNonDate="0" containsDate="1" containsString="0" minDate="2017-01-01T00:00:00" maxDate="2017-06-13T00:00:00" count="9">
        <d v="2017-01-01T00:00:00"/>
        <d v="2017-01-02T00:00:00"/>
        <d v="2017-03-01T00:00:00"/>
        <d v="2017-04-01T00:00:00"/>
        <d v="2017-04-23T00:00:00"/>
        <d v="2017-05-02T00:00:00"/>
        <d v="2017-05-22T00:00:00"/>
        <d v="2017-06-05T00:00:00"/>
        <d v="2017-06-12T00:00:00"/>
      </sharedItems>
      <fieldGroup par="8" base="0">
        <rangePr groupBy="days" startDate="2017-01-01T00:00:00" endDate="2017-06-13T00:00:00"/>
        <groupItems count="368">
          <s v="&lt;1/1/2017"/>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6/13/2017"/>
        </groupItems>
      </fieldGroup>
    </cacheField>
    <cacheField name="Location" numFmtId="14">
      <sharedItems count="16">
        <s v="New York"/>
        <s v="Maine"/>
        <s v="New Hampshire"/>
        <s v="Vermont"/>
        <s v="New Jersey"/>
        <s v="Pennsylvania"/>
        <s v="Connecticut"/>
        <s v="Massachusetts"/>
        <s v="Rhode Island"/>
        <s v="Maryland" u="1"/>
        <s v="Washington" u="1"/>
        <s v="Florida" u="1"/>
        <s v="Texas" u="1"/>
        <s v="Delaware" u="1"/>
        <s v="California" u="1"/>
        <s v="Georgia" u="1"/>
      </sharedItems>
    </cacheField>
    <cacheField name="Name" numFmtId="0">
      <sharedItems/>
    </cacheField>
    <cacheField name="Return" numFmtId="0">
      <sharedItems count="2">
        <s v="Yes"/>
        <s v="No"/>
      </sharedItems>
    </cacheField>
    <cacheField name="Delivery" numFmtId="0">
      <sharedItems count="2">
        <s v="On-time"/>
        <s v="Delayed"/>
      </sharedItems>
    </cacheField>
    <cacheField name="Price" numFmtId="0">
      <sharedItems containsSemiMixedTypes="0" containsString="0" containsNumber="1" minValue="1.99" maxValue="12.99"/>
    </cacheField>
    <cacheField name="Unites" numFmtId="0">
      <sharedItems containsSemiMixedTypes="0" containsString="0" containsNumber="1" containsInteger="1" minValue="45" maxValue="550"/>
    </cacheField>
    <cacheField name="Revenue" numFmtId="0">
      <sharedItems containsSemiMixedTypes="0" containsString="0" containsNumber="1" minValue="248.75" maxValue="1094.5"/>
    </cacheField>
    <cacheField name="Months" numFmtId="0" databaseField="0">
      <fieldGroup base="0">
        <rangePr groupBy="months" startDate="2017-01-01T00:00:00" endDate="2017-06-13T00:00:00"/>
        <groupItems count="14">
          <s v="&lt;1/1/2017"/>
          <s v="Jan"/>
          <s v="Feb"/>
          <s v="Mar"/>
          <s v="Apr"/>
          <s v="May"/>
          <s v="Jun"/>
          <s v="Jul"/>
          <s v="Aug"/>
          <s v="Sep"/>
          <s v="Oct"/>
          <s v="Nov"/>
          <s v="Dec"/>
          <s v="&gt;6/13/2017"/>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Nightwing" refreshedDate="44123.350701504627" createdVersion="6" refreshedVersion="6" minRefreshableVersion="3" recordCount="25" xr:uid="{2D507522-3227-410F-9756-2F36959540A3}">
  <cacheSource type="worksheet">
    <worksheetSource name="License_Table"/>
  </cacheSource>
  <cacheFields count="7">
    <cacheField name="LicenseId" numFmtId="0">
      <sharedItems containsSemiMixedTypes="0" containsString="0" containsNumber="1" containsInteger="1" minValue="1" maxValue="25"/>
    </cacheField>
    <cacheField name="AssetName" numFmtId="0">
      <sharedItems containsBlank="1" count="12">
        <s v="JusticeLeague"/>
        <s v="Avengers"/>
        <s v="SpeedForce"/>
        <s v="WorldDomination"/>
        <s v="DontUseMe"/>
        <s v="License2Kill"/>
        <s v="RandomLicense"/>
        <s v="Robot"/>
        <s v="Robot2"/>
        <s v="NewLicense"/>
        <m u="1"/>
        <s v="sadsdas" u="1"/>
      </sharedItems>
    </cacheField>
    <cacheField name="Key" numFmtId="0">
      <sharedItems/>
    </cacheField>
    <cacheField name="StartDate" numFmtId="14">
      <sharedItems containsSemiMixedTypes="0" containsNonDate="0" containsDate="1" containsString="0" minDate="2020-01-01T00:00:00" maxDate="2020-12-03T00:00:00"/>
    </cacheField>
    <cacheField name="Length" numFmtId="2">
      <sharedItems containsSemiMixedTypes="0" containsString="0" containsNumber="1" containsInteger="1" minValue="1" maxValue="3685"/>
    </cacheField>
    <cacheField name="EndDate" numFmtId="14">
      <sharedItems containsSemiMixedTypes="0" containsNonDate="0" containsDate="1" containsString="0" minDate="2020-01-02T00:00:00" maxDate="2030-02-03T00:00:00"/>
    </cacheField>
    <cacheField name="Available" numFmtId="0">
      <sharedItems containsSemiMixedTypes="0" containsString="0" containsNumber="1" containsInteger="1" minValue="0" maxValue="1" count="2">
        <n v="0"/>
        <n v="1"/>
      </sharedItems>
    </cacheField>
  </cacheFields>
  <extLst>
    <ext xmlns:x14="http://schemas.microsoft.com/office/spreadsheetml/2009/9/main" uri="{725AE2AE-9491-48be-B2B4-4EB974FC3084}">
      <x14:pivotCacheDefinition pivotCacheId="189831443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Nightwing" refreshedDate="44123.350701736112" createdVersion="6" refreshedVersion="6" minRefreshableVersion="3" recordCount="15" xr:uid="{00E02E28-DD74-4870-ABCC-1C7522ED1936}">
  <cacheSource type="worksheet">
    <worksheetSource name="User_Table"/>
  </cacheSource>
  <cacheFields count="9">
    <cacheField name="UserId" numFmtId="0">
      <sharedItems containsSemiMixedTypes="0" containsString="0" containsNumber="1" containsInteger="1" minValue="1" maxValue="15"/>
    </cacheField>
    <cacheField name="First Name" numFmtId="0">
      <sharedItems/>
    </cacheField>
    <cacheField name="Middle Name" numFmtId="0">
      <sharedItems/>
    </cacheField>
    <cacheField name="Last Name" numFmtId="0">
      <sharedItems/>
    </cacheField>
    <cacheField name="Suffix" numFmtId="0">
      <sharedItems/>
    </cacheField>
    <cacheField name="Email" numFmtId="0">
      <sharedItems/>
    </cacheField>
    <cacheField name="Rank" numFmtId="0">
      <sharedItems containsBlank="1" count="14">
        <s v="COL"/>
        <s v="CPT"/>
        <s v="2LT"/>
        <s v="N/A"/>
        <s v="LTG"/>
        <s v="LTC"/>
        <s v="SPC"/>
        <s v="MAJ"/>
        <s v="CSM"/>
        <s v="1LT"/>
        <s v="PVT"/>
        <m u="1"/>
        <s v="SSG" u="1"/>
        <s v="SFC" u="1"/>
      </sharedItems>
    </cacheField>
    <cacheField name="Component" numFmtId="0">
      <sharedItems containsBlank="1" count="5">
        <s v="Active Duty"/>
        <s v="National Guard"/>
        <s v="Contractor"/>
        <s v="Army Reserve"/>
        <m u="1"/>
      </sharedItems>
    </cacheField>
    <cacheField name="HasLicense" numFmtId="0">
      <sharedItems containsSemiMixedTypes="0" containsString="0" containsNumber="1" containsInteger="1" minValue="0" maxValue="2"/>
    </cacheField>
  </cacheFields>
  <extLst>
    <ext xmlns:x14="http://schemas.microsoft.com/office/spreadsheetml/2009/9/main" uri="{725AE2AE-9491-48be-B2B4-4EB974FC3084}">
      <x14:pivotCacheDefinition pivotCacheId="244450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s v="Alpha"/>
    <x v="0"/>
    <x v="0"/>
    <n v="1.99"/>
    <n v="125"/>
    <n v="248.75"/>
  </r>
  <r>
    <x v="1"/>
    <x v="1"/>
    <s v="Bravo"/>
    <x v="0"/>
    <x v="1"/>
    <n v="2.4900000000000002"/>
    <n v="200"/>
    <n v="498.00000000000006"/>
  </r>
  <r>
    <x v="2"/>
    <x v="2"/>
    <s v="Charlie"/>
    <x v="0"/>
    <x v="0"/>
    <n v="1.99"/>
    <n v="550"/>
    <n v="1094.5"/>
  </r>
  <r>
    <x v="3"/>
    <x v="3"/>
    <s v="Delta"/>
    <x v="1"/>
    <x v="0"/>
    <n v="9.99"/>
    <n v="60"/>
    <n v="599.4"/>
  </r>
  <r>
    <x v="4"/>
    <x v="4"/>
    <s v="Echo"/>
    <x v="0"/>
    <x v="1"/>
    <n v="12.99"/>
    <n v="45"/>
    <n v="584.54999999999995"/>
  </r>
  <r>
    <x v="5"/>
    <x v="5"/>
    <s v="Foxtrot"/>
    <x v="1"/>
    <x v="1"/>
    <n v="4.99"/>
    <n v="60"/>
    <n v="299.40000000000003"/>
  </r>
  <r>
    <x v="6"/>
    <x v="6"/>
    <s v="Golf"/>
    <x v="0"/>
    <x v="0"/>
    <n v="3.49"/>
    <n v="200"/>
    <n v="698"/>
  </r>
  <r>
    <x v="7"/>
    <x v="7"/>
    <s v="Hotel"/>
    <x v="1"/>
    <x v="0"/>
    <n v="6.49"/>
    <n v="125"/>
    <n v="811.25"/>
  </r>
  <r>
    <x v="8"/>
    <x v="8"/>
    <s v="Igloo"/>
    <x v="1"/>
    <x v="0"/>
    <n v="5.99"/>
    <n v="75"/>
    <n v="449.2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
    <x v="0"/>
    <s v="A1B2C3"/>
    <d v="2020-01-01T00:00:00"/>
    <n v="731"/>
    <d v="2022-01-01T00:00:00"/>
    <x v="0"/>
  </r>
  <r>
    <n v="2"/>
    <x v="0"/>
    <s v="D1E1F1"/>
    <d v="2020-02-01T00:00:00"/>
    <n v="1504"/>
    <d v="2024-03-15T00:00:00"/>
    <x v="0"/>
  </r>
  <r>
    <n v="3"/>
    <x v="0"/>
    <s v="G1H1I1"/>
    <d v="2020-03-01T00:00:00"/>
    <n v="1080"/>
    <d v="2023-02-14T00:00:00"/>
    <x v="0"/>
  </r>
  <r>
    <n v="4"/>
    <x v="1"/>
    <s v="A1S2D3"/>
    <d v="2020-06-01T00:00:00"/>
    <n v="471"/>
    <d v="2021-09-15T00:00:00"/>
    <x v="0"/>
  </r>
  <r>
    <n v="5"/>
    <x v="1"/>
    <s v="F4G5H6"/>
    <d v="2020-06-02T00:00:00"/>
    <n v="470"/>
    <d v="2021-09-15T00:00:00"/>
    <x v="0"/>
  </r>
  <r>
    <n v="6"/>
    <x v="1"/>
    <s v="J7K8L9"/>
    <d v="2020-06-03T00:00:00"/>
    <n v="469"/>
    <d v="2021-09-15T00:00:00"/>
    <x v="0"/>
  </r>
  <r>
    <n v="7"/>
    <x v="2"/>
    <s v="ZQXWCE"/>
    <d v="2020-10-05T00:00:00"/>
    <n v="498"/>
    <d v="2022-02-15T00:00:00"/>
    <x v="0"/>
  </r>
  <r>
    <n v="8"/>
    <x v="2"/>
    <s v="VRBTNY"/>
    <d v="2020-10-10T00:00:00"/>
    <n v="493"/>
    <d v="2022-02-15T00:00:00"/>
    <x v="0"/>
  </r>
  <r>
    <n v="9"/>
    <x v="3"/>
    <s v="A12345"/>
    <d v="2020-01-15T00:00:00"/>
    <n v="352"/>
    <d v="2021-01-01T00:00:00"/>
    <x v="0"/>
  </r>
  <r>
    <n v="10"/>
    <x v="3"/>
    <s v="B12345"/>
    <d v="2020-02-15T00:00:00"/>
    <n v="352"/>
    <d v="2021-02-01T00:00:00"/>
    <x v="0"/>
  </r>
  <r>
    <n v="11"/>
    <x v="4"/>
    <s v="A00000"/>
    <d v="2020-04-04T00:00:00"/>
    <n v="3048"/>
    <d v="2028-08-08T00:00:00"/>
    <x v="1"/>
  </r>
  <r>
    <n v="12"/>
    <x v="4"/>
    <s v="B00000"/>
    <d v="2020-05-05T00:00:00"/>
    <n v="2683"/>
    <d v="2027-09-09T00:00:00"/>
    <x v="1"/>
  </r>
  <r>
    <n v="13"/>
    <x v="5"/>
    <s v="K12345"/>
    <d v="2020-01-20T00:00:00"/>
    <n v="743"/>
    <d v="2022-02-01T00:00:00"/>
    <x v="1"/>
  </r>
  <r>
    <n v="14"/>
    <x v="5"/>
    <s v="K67890"/>
    <d v="2020-01-25T00:00:00"/>
    <n v="738"/>
    <d v="2022-02-01T00:00:00"/>
    <x v="0"/>
  </r>
  <r>
    <n v="15"/>
    <x v="6"/>
    <s v="ABCDEF"/>
    <d v="2020-07-03T00:00:00"/>
    <n v="731"/>
    <d v="2022-07-04T00:00:00"/>
    <x v="1"/>
  </r>
  <r>
    <n v="16"/>
    <x v="1"/>
    <s v="M1N2O3"/>
    <d v="2020-06-02T00:00:00"/>
    <n v="488"/>
    <d v="2021-10-03T00:00:00"/>
    <x v="1"/>
  </r>
  <r>
    <n v="17"/>
    <x v="1"/>
    <s v="P4Q5R6"/>
    <d v="2020-09-02T00:00:00"/>
    <n v="224"/>
    <d v="2021-04-14T00:00:00"/>
    <x v="1"/>
  </r>
  <r>
    <n v="18"/>
    <x v="1"/>
    <s v="S7T8U9"/>
    <d v="2020-01-12T00:00:00"/>
    <n v="528"/>
    <d v="2021-06-23T00:00:00"/>
    <x v="1"/>
  </r>
  <r>
    <n v="19"/>
    <x v="0"/>
    <s v="Z1X2C3"/>
    <d v="2020-03-01T00:00:00"/>
    <n v="1549"/>
    <d v="2024-05-28T00:00:00"/>
    <x v="1"/>
  </r>
  <r>
    <n v="20"/>
    <x v="0"/>
    <s v="V4B5N6"/>
    <d v="2020-12-02T00:00:00"/>
    <n v="1075"/>
    <d v="2023-11-12T00:00:00"/>
    <x v="1"/>
  </r>
  <r>
    <n v="21"/>
    <x v="7"/>
    <s v="O5O5O5"/>
    <d v="2020-11-01T00:00:00"/>
    <n v="49"/>
    <d v="2020-12-20T00:00:00"/>
    <x v="1"/>
  </r>
  <r>
    <n v="22"/>
    <x v="8"/>
    <s v="O6O6O6"/>
    <d v="2020-11-15T00:00:00"/>
    <n v="61"/>
    <d v="2021-01-15T00:00:00"/>
    <x v="1"/>
  </r>
  <r>
    <n v="23"/>
    <x v="8"/>
    <s v="X5X6X7"/>
    <d v="2020-10-15T00:00:00"/>
    <n v="2993"/>
    <d v="2028-12-25T00:00:00"/>
    <x v="1"/>
  </r>
  <r>
    <n v="24"/>
    <x v="9"/>
    <s v="AAABBB"/>
    <d v="2020-01-01T00:00:00"/>
    <n v="3685"/>
    <d v="2030-02-02T00:00:00"/>
    <x v="1"/>
  </r>
  <r>
    <n v="25"/>
    <x v="6"/>
    <s v="AAAAAA"/>
    <d v="2020-01-01T00:00:00"/>
    <n v="1"/>
    <d v="2020-01-02T00:00:00"/>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n v="1"/>
    <s v="Bruce"/>
    <s v="N/A"/>
    <s v="Wayne"/>
    <s v="N/A"/>
    <s v="brucewayne.mil@mail.mil"/>
    <x v="0"/>
    <x v="0"/>
    <n v="1"/>
  </r>
  <r>
    <n v="2"/>
    <s v="Natalia"/>
    <s v="Allanovna"/>
    <s v="Romanova"/>
    <s v="N/A"/>
    <s v="nataliaromanova.mil@mail.mil"/>
    <x v="1"/>
    <x v="1"/>
    <n v="1"/>
  </r>
  <r>
    <n v="3"/>
    <s v="Steve"/>
    <s v="G."/>
    <s v="Rogers"/>
    <s v="N/A"/>
    <s v="steverogers.mil@mail.mil"/>
    <x v="1"/>
    <x v="0"/>
    <n v="1"/>
  </r>
  <r>
    <n v="4"/>
    <s v="Thomas"/>
    <s v="James"/>
    <s v="Finn"/>
    <s v="III"/>
    <s v="thomas.j.finn.mil@mail.mil"/>
    <x v="2"/>
    <x v="0"/>
    <n v="0"/>
  </r>
  <r>
    <n v="5"/>
    <s v="Raven"/>
    <s v="Mystique"/>
    <s v="Darkholme"/>
    <s v="N/A"/>
    <s v="ravendarkholme.mil@mail.mil"/>
    <x v="3"/>
    <x v="2"/>
    <n v="0"/>
  </r>
  <r>
    <n v="6"/>
    <s v="Clark"/>
    <s v="Kal-El"/>
    <s v="Kent"/>
    <s v="N/A"/>
    <s v="clarkkent.mil@mail.mil"/>
    <x v="4"/>
    <x v="0"/>
    <n v="1"/>
  </r>
  <r>
    <n v="7"/>
    <s v="Charles"/>
    <s v="Francis"/>
    <s v="Xavier"/>
    <s v="N/A"/>
    <s v="charlesxavier.mil@mail.mil"/>
    <x v="5"/>
    <x v="1"/>
    <n v="0"/>
  </r>
  <r>
    <n v="8"/>
    <s v="Lex"/>
    <s v="N/A"/>
    <s v="Luthor"/>
    <s v="N/A"/>
    <s v="lexluthor.mil@mail.mil"/>
    <x v="3"/>
    <x v="2"/>
    <n v="0"/>
  </r>
  <r>
    <n v="9"/>
    <s v="Wade"/>
    <s v="Deadpool"/>
    <s v="Wilson"/>
    <s v="Jr"/>
    <s v="wadewilson.mil@mail.mil"/>
    <x v="6"/>
    <x v="2"/>
    <n v="2"/>
  </r>
  <r>
    <n v="10"/>
    <s v="Wallace"/>
    <s v="Rudolph"/>
    <s v="West"/>
    <s v="N/A"/>
    <s v="wallacewest.mil@mail.mil"/>
    <x v="2"/>
    <x v="0"/>
    <n v="2"/>
  </r>
  <r>
    <n v="11"/>
    <s v="Bartholomew"/>
    <s v="Henry"/>
    <s v="Allen"/>
    <s v="N/A"/>
    <s v="bartholomewallen.mil@mail.mil"/>
    <x v="7"/>
    <x v="3"/>
    <n v="1"/>
  </r>
  <r>
    <n v="12"/>
    <s v="Victor"/>
    <s v="Von"/>
    <s v="Doom"/>
    <s v="N/A"/>
    <s v="victordoom.mil@mail.mil"/>
    <x v="8"/>
    <x v="0"/>
    <n v="1"/>
  </r>
  <r>
    <n v="13"/>
    <s v="Grayson"/>
    <s v="Branch"/>
    <s v="Gordon"/>
    <s v="N/A"/>
    <s v="grayson.b.gordon.mil@mail.mil"/>
    <x v="2"/>
    <x v="0"/>
    <n v="1"/>
  </r>
  <r>
    <n v="14"/>
    <s v="Brian"/>
    <s v="B"/>
    <s v="Baker"/>
    <s v="N/A"/>
    <s v="brian.b.baker.mil@mail.mil"/>
    <x v="9"/>
    <x v="0"/>
    <n v="0"/>
  </r>
  <r>
    <n v="15"/>
    <s v="Joe"/>
    <s v="A"/>
    <s v="Joe"/>
    <s v="Jr"/>
    <s v="joe.a.joe@mail.mil"/>
    <x v="10"/>
    <x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AA5B085-5AC8-4091-B52A-3DEC4AF1AC25}" name="PivotTable6"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D1:E13" firstHeaderRow="1" firstDataRow="1" firstDataCol="1"/>
  <pivotFields count="9">
    <pivotField showAll="0"/>
    <pivotField showAll="0"/>
    <pivotField showAll="0"/>
    <pivotField showAll="0"/>
    <pivotField showAll="0"/>
    <pivotField showAll="0"/>
    <pivotField axis="axisRow" showAll="0">
      <items count="15">
        <item x="2"/>
        <item x="0"/>
        <item x="1"/>
        <item x="8"/>
        <item x="5"/>
        <item x="4"/>
        <item x="7"/>
        <item x="3"/>
        <item x="6"/>
        <item x="9"/>
        <item m="1" x="11"/>
        <item m="1" x="13"/>
        <item m="1" x="12"/>
        <item x="10"/>
        <item t="default"/>
      </items>
    </pivotField>
    <pivotField showAll="0">
      <items count="6">
        <item x="0"/>
        <item x="3"/>
        <item x="2"/>
        <item x="1"/>
        <item m="1" x="4"/>
        <item t="default"/>
      </items>
    </pivotField>
    <pivotField dataField="1" showAll="0"/>
  </pivotFields>
  <rowFields count="1">
    <field x="6"/>
  </rowFields>
  <rowItems count="12">
    <i>
      <x/>
    </i>
    <i>
      <x v="1"/>
    </i>
    <i>
      <x v="2"/>
    </i>
    <i>
      <x v="3"/>
    </i>
    <i>
      <x v="4"/>
    </i>
    <i>
      <x v="5"/>
    </i>
    <i>
      <x v="6"/>
    </i>
    <i>
      <x v="7"/>
    </i>
    <i>
      <x v="8"/>
    </i>
    <i>
      <x v="9"/>
    </i>
    <i>
      <x v="13"/>
    </i>
    <i t="grand">
      <x/>
    </i>
  </rowItems>
  <colItems count="1">
    <i/>
  </colItems>
  <dataFields count="1">
    <dataField name="Sum of HasLicense" fld="8" baseField="0" baseItem="0"/>
  </dataFields>
  <chartFormats count="12">
    <chartFormat chart="2" format="18" series="1">
      <pivotArea type="data" outline="0" fieldPosition="0">
        <references count="1">
          <reference field="4294967294" count="1" selected="0">
            <x v="0"/>
          </reference>
        </references>
      </pivotArea>
    </chartFormat>
    <chartFormat chart="2" format="19">
      <pivotArea type="data" outline="0" fieldPosition="0">
        <references count="2">
          <reference field="4294967294" count="1" selected="0">
            <x v="0"/>
          </reference>
          <reference field="6" count="1" selected="0">
            <x v="0"/>
          </reference>
        </references>
      </pivotArea>
    </chartFormat>
    <chartFormat chart="2" format="20">
      <pivotArea type="data" outline="0" fieldPosition="0">
        <references count="2">
          <reference field="4294967294" count="1" selected="0">
            <x v="0"/>
          </reference>
          <reference field="6" count="1" selected="0">
            <x v="1"/>
          </reference>
        </references>
      </pivotArea>
    </chartFormat>
    <chartFormat chart="2" format="21">
      <pivotArea type="data" outline="0" fieldPosition="0">
        <references count="2">
          <reference field="4294967294" count="1" selected="0">
            <x v="0"/>
          </reference>
          <reference field="6" count="1" selected="0">
            <x v="2"/>
          </reference>
        </references>
      </pivotArea>
    </chartFormat>
    <chartFormat chart="2" format="22">
      <pivotArea type="data" outline="0" fieldPosition="0">
        <references count="2">
          <reference field="4294967294" count="1" selected="0">
            <x v="0"/>
          </reference>
          <reference field="6" count="1" selected="0">
            <x v="3"/>
          </reference>
        </references>
      </pivotArea>
    </chartFormat>
    <chartFormat chart="2" format="23">
      <pivotArea type="data" outline="0" fieldPosition="0">
        <references count="2">
          <reference field="4294967294" count="1" selected="0">
            <x v="0"/>
          </reference>
          <reference field="6" count="1" selected="0">
            <x v="4"/>
          </reference>
        </references>
      </pivotArea>
    </chartFormat>
    <chartFormat chart="2" format="24">
      <pivotArea type="data" outline="0" fieldPosition="0">
        <references count="2">
          <reference field="4294967294" count="1" selected="0">
            <x v="0"/>
          </reference>
          <reference field="6" count="1" selected="0">
            <x v="5"/>
          </reference>
        </references>
      </pivotArea>
    </chartFormat>
    <chartFormat chart="2" format="25">
      <pivotArea type="data" outline="0" fieldPosition="0">
        <references count="2">
          <reference field="4294967294" count="1" selected="0">
            <x v="0"/>
          </reference>
          <reference field="6" count="1" selected="0">
            <x v="6"/>
          </reference>
        </references>
      </pivotArea>
    </chartFormat>
    <chartFormat chart="2" format="26">
      <pivotArea type="data" outline="0" fieldPosition="0">
        <references count="2">
          <reference field="4294967294" count="1" selected="0">
            <x v="0"/>
          </reference>
          <reference field="6" count="1" selected="0">
            <x v="8"/>
          </reference>
        </references>
      </pivotArea>
    </chartFormat>
    <chartFormat chart="2" format="27">
      <pivotArea type="data" outline="0" fieldPosition="0">
        <references count="2">
          <reference field="4294967294" count="1" selected="0">
            <x v="0"/>
          </reference>
          <reference field="6" count="1" selected="0">
            <x v="7"/>
          </reference>
        </references>
      </pivotArea>
    </chartFormat>
    <chartFormat chart="2" format="28">
      <pivotArea type="data" outline="0" fieldPosition="0">
        <references count="2">
          <reference field="4294967294" count="1" selected="0">
            <x v="0"/>
          </reference>
          <reference field="6" count="1" selected="0">
            <x v="9"/>
          </reference>
        </references>
      </pivotArea>
    </chartFormat>
    <chartFormat chart="2" format="29">
      <pivotArea type="data" outline="0" fieldPosition="0">
        <references count="2">
          <reference field="4294967294" count="1" selected="0">
            <x v="0"/>
          </reference>
          <reference field="6"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F898C75-A189-4EB5-A7DB-93035E06C51E}" name="PivotTable5"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1:B6" firstHeaderRow="1" firstDataRow="1" firstDataCol="1"/>
  <pivotFields count="9">
    <pivotField showAll="0"/>
    <pivotField showAll="0"/>
    <pivotField showAll="0"/>
    <pivotField showAll="0"/>
    <pivotField showAll="0"/>
    <pivotField showAll="0"/>
    <pivotField showAll="0">
      <items count="15">
        <item x="9"/>
        <item x="2"/>
        <item x="0"/>
        <item x="1"/>
        <item x="8"/>
        <item x="5"/>
        <item x="4"/>
        <item x="7"/>
        <item x="3"/>
        <item x="10"/>
        <item m="1" x="13"/>
        <item x="6"/>
        <item m="1" x="12"/>
        <item m="1" x="11"/>
        <item t="default"/>
      </items>
    </pivotField>
    <pivotField axis="axisRow" showAll="0">
      <items count="6">
        <item x="0"/>
        <item x="3"/>
        <item x="2"/>
        <item x="1"/>
        <item m="1" x="4"/>
        <item t="default"/>
      </items>
    </pivotField>
    <pivotField dataField="1" showAll="0"/>
  </pivotFields>
  <rowFields count="1">
    <field x="7"/>
  </rowFields>
  <rowItems count="5">
    <i>
      <x/>
    </i>
    <i>
      <x v="1"/>
    </i>
    <i>
      <x v="2"/>
    </i>
    <i>
      <x v="3"/>
    </i>
    <i t="grand">
      <x/>
    </i>
  </rowItems>
  <colItems count="1">
    <i/>
  </colItems>
  <dataFields count="1">
    <dataField name="Sum of HasLicense" fld="8" baseField="7" baseItem="0"/>
  </dataFields>
  <chartFormats count="5">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7" count="1" selected="0">
            <x v="0"/>
          </reference>
        </references>
      </pivotArea>
    </chartFormat>
    <chartFormat chart="2" format="12">
      <pivotArea type="data" outline="0" fieldPosition="0">
        <references count="2">
          <reference field="4294967294" count="1" selected="0">
            <x v="0"/>
          </reference>
          <reference field="7" count="1" selected="0">
            <x v="1"/>
          </reference>
        </references>
      </pivotArea>
    </chartFormat>
    <chartFormat chart="2" format="13">
      <pivotArea type="data" outline="0" fieldPosition="0">
        <references count="2">
          <reference field="4294967294" count="1" selected="0">
            <x v="0"/>
          </reference>
          <reference field="7" count="1" selected="0">
            <x v="2"/>
          </reference>
        </references>
      </pivotArea>
    </chartFormat>
    <chartFormat chart="2" format="14">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B36840A-8A7B-47B0-9CA5-FDEBC82A6451}" name="PivotTable9"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K1:L4" firstHeaderRow="1" firstDataRow="1" firstDataCol="1"/>
  <pivotFields count="7">
    <pivotField showAll="0"/>
    <pivotField showAll="0"/>
    <pivotField showAll="0"/>
    <pivotField numFmtId="14" showAll="0"/>
    <pivotField numFmtId="2" showAll="0"/>
    <pivotField numFmtId="14" showAll="0"/>
    <pivotField axis="axisRow" dataField="1" showAll="0" sortType="descending">
      <items count="3">
        <item x="1"/>
        <item x="0"/>
        <item t="default"/>
      </items>
    </pivotField>
  </pivotFields>
  <rowFields count="1">
    <field x="6"/>
  </rowFields>
  <rowItems count="3">
    <i>
      <x/>
    </i>
    <i>
      <x v="1"/>
    </i>
    <i t="grand">
      <x/>
    </i>
  </rowItems>
  <colItems count="1">
    <i/>
  </colItems>
  <dataFields count="1">
    <dataField name="Count of Available" fld="6" subtotal="count" baseField="0" baseItem="1"/>
  </dataFields>
  <chartFormats count="3">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6" count="1" selected="0">
            <x v="0"/>
          </reference>
        </references>
      </pivotArea>
    </chartFormat>
    <chartFormat chart="2" format="9">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ABE727E-0101-4577-9867-8C14CED3EB82}" name="PivotTable7"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G1:I12" firstHeaderRow="0" firstDataRow="1" firstDataCol="1"/>
  <pivotFields count="7">
    <pivotField showAll="0"/>
    <pivotField axis="axisRow" showAll="0">
      <items count="13">
        <item x="1"/>
        <item x="4"/>
        <item x="0"/>
        <item x="5"/>
        <item x="6"/>
        <item x="2"/>
        <item x="3"/>
        <item x="7"/>
        <item x="8"/>
        <item m="1" x="10"/>
        <item m="1" x="11"/>
        <item x="9"/>
        <item t="default"/>
      </items>
    </pivotField>
    <pivotField showAll="0"/>
    <pivotField numFmtId="14" showAll="0"/>
    <pivotField numFmtId="2" showAll="0"/>
    <pivotField numFmtId="14" showAll="0"/>
    <pivotField dataField="1" showAll="0"/>
  </pivotFields>
  <rowFields count="1">
    <field x="1"/>
  </rowFields>
  <rowItems count="11">
    <i>
      <x/>
    </i>
    <i>
      <x v="1"/>
    </i>
    <i>
      <x v="2"/>
    </i>
    <i>
      <x v="3"/>
    </i>
    <i>
      <x v="4"/>
    </i>
    <i>
      <x v="5"/>
    </i>
    <i>
      <x v="6"/>
    </i>
    <i>
      <x v="7"/>
    </i>
    <i>
      <x v="8"/>
    </i>
    <i>
      <x v="11"/>
    </i>
    <i t="grand">
      <x/>
    </i>
  </rowItems>
  <colFields count="1">
    <field x="-2"/>
  </colFields>
  <colItems count="2">
    <i>
      <x/>
    </i>
    <i i="1">
      <x v="1"/>
    </i>
  </colItems>
  <dataFields count="2">
    <dataField name="License Available" fld="6" baseField="1" baseItem="0"/>
    <dataField name="Total License Amount" fld="6" subtotal="count" baseField="1"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86D507A-D7C3-4A60-B1E2-C8DA43C2DE9F}"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Y1:Z4" firstHeaderRow="1" firstDataRow="1" firstDataCol="1"/>
  <pivotFields count="9">
    <pivotField numFmtId="14" showAll="0"/>
    <pivotField showAll="0"/>
    <pivotField showAll="0"/>
    <pivotField showAll="0"/>
    <pivotField axis="axisRow" showAll="0" sortType="descending">
      <items count="3">
        <item x="0"/>
        <item x="1"/>
        <item t="default"/>
      </items>
    </pivotField>
    <pivotField showAll="0"/>
    <pivotField showAll="0"/>
    <pivotField dataField="1" showAll="0"/>
    <pivotField showAll="0" defaultSubtotal="0"/>
  </pivotFields>
  <rowFields count="1">
    <field x="4"/>
  </rowFields>
  <rowItems count="3">
    <i>
      <x/>
    </i>
    <i>
      <x v="1"/>
    </i>
    <i t="grand">
      <x/>
    </i>
  </rowItems>
  <colItems count="1">
    <i/>
  </colItems>
  <dataFields count="1">
    <dataField name="Count of Revenue" fld="7" subtotal="count" baseField="3"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80DBBA7-AD30-45EE-9029-9402F8784D39}"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M1:W3" firstHeaderRow="1" firstDataRow="2" firstDataCol="1"/>
  <pivotFields count="9">
    <pivotField numFmtId="14" showAll="0"/>
    <pivotField axis="axisCol" showAll="0">
      <items count="17">
        <item m="1" x="14"/>
        <item x="6"/>
        <item m="1" x="13"/>
        <item m="1" x="11"/>
        <item m="1" x="15"/>
        <item x="1"/>
        <item x="0"/>
        <item m="1" x="12"/>
        <item m="1" x="10"/>
        <item x="2"/>
        <item x="3"/>
        <item x="5"/>
        <item m="1" x="9"/>
        <item x="7"/>
        <item x="8"/>
        <item x="4"/>
        <item t="default"/>
      </items>
    </pivotField>
    <pivotField showAll="0"/>
    <pivotField showAll="0"/>
    <pivotField showAll="0"/>
    <pivotField showAll="0"/>
    <pivotField showAll="0"/>
    <pivotField dataField="1" showAll="0"/>
    <pivotField showAll="0" defaultSubtotal="0"/>
  </pivotFields>
  <rowItems count="1">
    <i/>
  </rowItems>
  <colFields count="1">
    <field x="1"/>
  </colFields>
  <colItems count="10">
    <i>
      <x v="1"/>
    </i>
    <i>
      <x v="5"/>
    </i>
    <i>
      <x v="6"/>
    </i>
    <i>
      <x v="9"/>
    </i>
    <i>
      <x v="10"/>
    </i>
    <i>
      <x v="11"/>
    </i>
    <i>
      <x v="13"/>
    </i>
    <i>
      <x v="14"/>
    </i>
    <i>
      <x v="15"/>
    </i>
    <i t="grand">
      <x/>
    </i>
  </colItems>
  <dataFields count="1">
    <dataField name="Sum of Revenue"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9E54BC3-D12B-40C9-9CE9-51161553F2BB}"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J1:K7" firstHeaderRow="1" firstDataRow="1" firstDataCol="1"/>
  <pivotFields count="9">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s>
  <rowFields count="2">
    <field x="8"/>
    <field x="0"/>
  </rowFields>
  <rowItems count="6">
    <i>
      <x v="1"/>
    </i>
    <i>
      <x v="3"/>
    </i>
    <i>
      <x v="4"/>
    </i>
    <i>
      <x v="5"/>
    </i>
    <i>
      <x v="6"/>
    </i>
    <i t="grand">
      <x/>
    </i>
  </rowItems>
  <colItems count="1">
    <i/>
  </colItems>
  <dataFields count="1">
    <dataField name="Sum of Revenue" fld="7" baseField="0" baseItem="0"/>
  </dataFields>
  <chartFormats count="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5EEBD75-AE8A-4DC3-A5D1-FFCCD2F4EF3A}"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C1:AD4" firstHeaderRow="1" firstDataRow="1" firstDataCol="1"/>
  <pivotFields count="9">
    <pivotField numFmtId="14" showAll="0"/>
    <pivotField showAll="0"/>
    <pivotField showAll="0"/>
    <pivotField axis="axisRow" showAll="0" sortType="descending">
      <items count="3">
        <item x="0"/>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defaultSubtotal="0"/>
  </pivotFields>
  <rowFields count="1">
    <field x="3"/>
  </rowFields>
  <rowItems count="3">
    <i>
      <x/>
    </i>
    <i>
      <x v="1"/>
    </i>
    <i t="grand">
      <x/>
    </i>
  </rowItems>
  <colItems count="1">
    <i/>
  </colItems>
  <dataFields count="1">
    <dataField name="Count of Revenue" fld="7" subtotal="count" baseField="3"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nk" xr10:uid="{51B92B42-32AB-48C7-91EA-85614DB580A3}" sourceName="Rank">
  <pivotTables>
    <pivotTable tabId="5" name="PivotTable6"/>
    <pivotTable tabId="5" name="PivotTable5"/>
  </pivotTables>
  <data>
    <tabular pivotCacheId="24445045">
      <items count="14">
        <i x="9" s="1"/>
        <i x="2" s="1"/>
        <i x="0" s="1"/>
        <i x="1" s="1"/>
        <i x="8" s="1"/>
        <i x="5" s="1"/>
        <i x="4" s="1"/>
        <i x="7" s="1"/>
        <i x="3" s="1"/>
        <i x="10" s="1"/>
        <i x="6" s="1"/>
        <i x="13" s="1" nd="1"/>
        <i x="12" s="1" nd="1"/>
        <i x="1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onent" xr10:uid="{8BB602F8-3DCD-490C-A097-302AF0F1BEEA}" sourceName="Component">
  <pivotTables>
    <pivotTable tabId="5" name="PivotTable5"/>
    <pivotTable tabId="5" name="PivotTable6"/>
  </pivotTables>
  <data>
    <tabular pivotCacheId="24445045">
      <items count="5">
        <i x="0" s="1"/>
        <i x="3" s="1"/>
        <i x="2" s="1"/>
        <i x="1" s="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Name" xr10:uid="{A7D249E4-61FD-4566-A92C-ACF19665BAB9}" sourceName="AssetName">
  <pivotTables>
    <pivotTable tabId="5" name="PivotTable7"/>
  </pivotTables>
  <data>
    <tabular pivotCacheId="1898314431">
      <items count="12">
        <i x="1" s="1"/>
        <i x="4" s="1"/>
        <i x="0" s="1"/>
        <i x="5" s="1"/>
        <i x="9" s="1"/>
        <i x="6" s="1"/>
        <i x="7" s="1"/>
        <i x="8" s="1"/>
        <i x="2" s="1"/>
        <i x="3" s="1"/>
        <i x="11" s="1" nd="1"/>
        <i x="1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ank" xr10:uid="{D790B034-1B01-458D-A35D-5E91B84B6DBD}" cache="Slicer_Rank" caption="Rank" columnCount="3" style="Nightshade" rowHeight="182880"/>
  <slicer name="Component" xr10:uid="{798B6503-0BFA-4B23-AEA8-D131A3B255B6}" cache="Slicer_Component" caption="Component" style="Nightshade" rowHeight="234950"/>
  <slicer name="AssetName" xr10:uid="{239C4047-0CB2-4D8B-A733-009CF7FE4E1F}" cache="Slicer_AssetName" caption="AssetName" style="Nightshad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905BE4-8FAF-482E-9858-C439915B797F}" name="License_Table" displayName="License_Table" ref="A1:G26" totalsRowShown="0" headerRowDxfId="13" headerRowBorderDxfId="12" tableBorderDxfId="11">
  <autoFilter ref="A1:G26" xr:uid="{1F5E477C-CE96-4735-AD36-74BFF8EAAE2D}"/>
  <tableColumns count="7">
    <tableColumn id="1" xr3:uid="{4BA4F3F2-8E6A-4C14-BA17-B9BBBC0F45F0}" name="LicenseId"/>
    <tableColumn id="2" xr3:uid="{BE8948B6-1AAD-4500-8BDA-B5E9C48CD4F9}" name="AssetName"/>
    <tableColumn id="3" xr3:uid="{C7C96FA6-05EC-4222-A448-3BE6EA341DC3}" name="Key"/>
    <tableColumn id="4" xr3:uid="{02574712-D6D2-43EB-90E7-DD23D92166E3}" name="StartDate" dataDxfId="10"/>
    <tableColumn id="7" xr3:uid="{85068B4C-306A-42F7-B385-57733E3E461C}" name="Length" dataDxfId="9">
      <calculatedColumnFormula>License_Table[[#This Row],[EndDate]]-License_Table[[#This Row],[StartDate]]</calculatedColumnFormula>
    </tableColumn>
    <tableColumn id="5" xr3:uid="{6645845C-055B-48FD-922C-83C595CBF911}" name="EndDate" dataDxfId="8"/>
    <tableColumn id="6" xr3:uid="{F1B999B7-FBD2-4DD1-9E13-3F00B5806B1F}" name="Availabl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9A8DECE-1805-46BC-A42A-08DCE803F124}" name="User_Table" displayName="User_Table" ref="A1:I16" totalsRowShown="0" headerRowDxfId="7" headerRowBorderDxfId="6" tableBorderDxfId="5">
  <autoFilter ref="A1:I16" xr:uid="{310E6029-4D7A-49B3-94F5-94409711918B}"/>
  <tableColumns count="9">
    <tableColumn id="1" xr3:uid="{BF4572A8-D659-4D58-8965-DE68747C2920}" name="UserId"/>
    <tableColumn id="2" xr3:uid="{DF60E4EE-27F1-493D-8F1E-B4AA0A3A44CC}" name="First Name"/>
    <tableColumn id="3" xr3:uid="{9871C502-DC9C-4D42-8B47-7B184101E80E}" name="Middle Name"/>
    <tableColumn id="4" xr3:uid="{E8B8F2AC-8FD0-4AB9-B0B1-0058E8CB0C5E}" name="Last Name"/>
    <tableColumn id="5" xr3:uid="{865EAB8A-A0F0-45DF-8DD4-2127111C4522}" name="Suffix"/>
    <tableColumn id="6" xr3:uid="{B9B35A5F-7B39-46BB-B513-A52ED2ED6D9E}" name="Email"/>
    <tableColumn id="7" xr3:uid="{E4F90F28-E133-4728-97A4-E8A708499DFB}" name="Rank"/>
    <tableColumn id="8" xr3:uid="{12E4B397-CE41-4B2C-9A53-B54E99CC94C3}" name="Component"/>
    <tableColumn id="9" xr3:uid="{CD162AF1-A8C3-420E-9D8E-01EE061AF02F}" name="HasLicens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465B8EF-511E-4CCD-A686-695EAB036624}" name="Assignment_Table" displayName="Assignment_Table" ref="A1:F12" totalsRowShown="0" headerRowDxfId="4" headerRowBorderDxfId="3" tableBorderDxfId="2">
  <autoFilter ref="A1:F12" xr:uid="{885A728E-96DB-4888-B5A1-70AF75F7DAAB}"/>
  <tableColumns count="6">
    <tableColumn id="1" xr3:uid="{D03BE993-389F-4CC2-8F21-E321837C4E8E}" name="UserId"/>
    <tableColumn id="6" xr3:uid="{D9EEA88B-3038-4670-847D-281DFAE6519D}" name="Username"/>
    <tableColumn id="2" xr3:uid="{3468342B-06E9-4B5E-B168-B98253172021}" name="LicenseId"/>
    <tableColumn id="7" xr3:uid="{59AE1889-108E-4D08-AC18-1D21C8943E8D}" name="LicenseName"/>
    <tableColumn id="3" xr3:uid="{A29CCD85-0D11-4E24-B8BF-F9F2EBB88435}" name="StartDate"/>
    <tableColumn id="4" xr3:uid="{92958663-C004-4A87-84F4-0C368207BC18}" name="EndDat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B58D46-CFF5-4356-BAD9-FA5D3E330074}" name="Data_Table" displayName="Data_Table" ref="A1:H10" totalsRowShown="0">
  <autoFilter ref="A1:H10" xr:uid="{751E3101-14E2-4391-95EC-F7D483DF9496}"/>
  <tableColumns count="8">
    <tableColumn id="1" xr3:uid="{C1776B52-C4C2-4C78-A1FE-C7BD5CC79FAE}" name="Date"/>
    <tableColumn id="6" xr3:uid="{1ECC6029-ED3F-4CB0-B01C-38210823459C}" name="Location" dataDxfId="1"/>
    <tableColumn id="2" xr3:uid="{1A819F48-D13E-4F38-BF35-2C1C27816F78}" name="Name"/>
    <tableColumn id="9" xr3:uid="{1895C9A9-AA5F-46BF-8E1F-4DE941948624}" name="Return"/>
    <tableColumn id="8" xr3:uid="{636AF20D-EBF9-4BB1-874F-4BE9F210F2FA}" name="Delivery"/>
    <tableColumn id="3" xr3:uid="{3A4A6316-428A-43FA-8D9F-8813D199EC7C}" name="Price"/>
    <tableColumn id="4" xr3:uid="{4A2EB556-FC32-499D-A738-9881A6B814D5}" name="Unites"/>
    <tableColumn id="5" xr3:uid="{583B6494-03BB-4118-8C8B-5E36583B8F87}" name="Revenue" dataDxfId="0">
      <calculatedColumnFormula>Data_Table[[#This Row],[Price]]*Data_Table[[#This Row],[Unites]]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hyperlink" Target="mailto:lexluthor.mil@mail.mil" TargetMode="External"/><Relationship Id="rId13" Type="http://schemas.openxmlformats.org/officeDocument/2006/relationships/hyperlink" Target="mailto:grayson.b.gordon.mil@mail.mil" TargetMode="External"/><Relationship Id="rId3" Type="http://schemas.openxmlformats.org/officeDocument/2006/relationships/hyperlink" Target="mailto:nataliaromanova.mil@mail.mil" TargetMode="External"/><Relationship Id="rId7" Type="http://schemas.openxmlformats.org/officeDocument/2006/relationships/hyperlink" Target="mailto:charlesxavier.mil@mail.mil" TargetMode="External"/><Relationship Id="rId12" Type="http://schemas.openxmlformats.org/officeDocument/2006/relationships/hyperlink" Target="mailto:victordoom.mil@mail.mil" TargetMode="External"/><Relationship Id="rId2" Type="http://schemas.openxmlformats.org/officeDocument/2006/relationships/hyperlink" Target="mailto:steverogers.mil@mail.mil" TargetMode="External"/><Relationship Id="rId1" Type="http://schemas.openxmlformats.org/officeDocument/2006/relationships/hyperlink" Target="mailto:thomas.j.finn.mil@mail.mil" TargetMode="External"/><Relationship Id="rId6" Type="http://schemas.openxmlformats.org/officeDocument/2006/relationships/hyperlink" Target="mailto:clarkkent.mil@mail.mil" TargetMode="External"/><Relationship Id="rId11" Type="http://schemas.openxmlformats.org/officeDocument/2006/relationships/hyperlink" Target="mailto:bartholomewallen.mil@mail.mil" TargetMode="External"/><Relationship Id="rId5" Type="http://schemas.openxmlformats.org/officeDocument/2006/relationships/hyperlink" Target="mailto:ravendarkholme.mil@mail.mil" TargetMode="External"/><Relationship Id="rId15" Type="http://schemas.openxmlformats.org/officeDocument/2006/relationships/table" Target="../tables/table2.xml"/><Relationship Id="rId10" Type="http://schemas.openxmlformats.org/officeDocument/2006/relationships/hyperlink" Target="mailto:wallacewest.mil@mail.mil" TargetMode="External"/><Relationship Id="rId4" Type="http://schemas.openxmlformats.org/officeDocument/2006/relationships/hyperlink" Target="mailto:brucewayne.mil@mail.mil" TargetMode="External"/><Relationship Id="rId9" Type="http://schemas.openxmlformats.org/officeDocument/2006/relationships/hyperlink" Target="mailto:wadewilson.mil@mail.mil" TargetMode="External"/><Relationship Id="rId1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table" Target="../tables/table4.xml"/><Relationship Id="rId5" Type="http://schemas.openxmlformats.org/officeDocument/2006/relationships/drawing" Target="../drawings/drawing3.xml"/><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showRowColHeaders="0" tabSelected="1" zoomScaleNormal="100" workbookViewId="0">
      <selection activeCell="G39" sqref="G39"/>
    </sheetView>
  </sheetViews>
  <sheetFormatPr defaultRowHeight="14.4" x14ac:dyDescent="0.3"/>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80A84-5BB9-4441-B4FF-23BA894E83F6}">
  <sheetPr codeName="Sheet3"/>
  <dimension ref="A1:S26"/>
  <sheetViews>
    <sheetView workbookViewId="0">
      <selection activeCell="A26" sqref="A26"/>
    </sheetView>
  </sheetViews>
  <sheetFormatPr defaultRowHeight="14.4" x14ac:dyDescent="0.3"/>
  <cols>
    <col min="1" max="6" width="15.77734375" customWidth="1"/>
    <col min="13" max="13" width="9.5546875" bestFit="1" customWidth="1"/>
  </cols>
  <sheetData>
    <row r="1" spans="1:19" ht="14.4" customHeight="1" x14ac:dyDescent="0.3">
      <c r="A1" s="2" t="s">
        <v>7</v>
      </c>
      <c r="B1" s="3" t="s">
        <v>8</v>
      </c>
      <c r="C1" s="3" t="s">
        <v>9</v>
      </c>
      <c r="D1" s="3" t="s">
        <v>10</v>
      </c>
      <c r="E1" s="3" t="s">
        <v>150</v>
      </c>
      <c r="F1" s="3" t="s">
        <v>11</v>
      </c>
      <c r="G1" s="4" t="s">
        <v>71</v>
      </c>
      <c r="I1" s="14" t="s">
        <v>142</v>
      </c>
      <c r="J1" s="14"/>
      <c r="K1" s="14"/>
      <c r="L1" s="14"/>
      <c r="M1" s="14"/>
    </row>
    <row r="2" spans="1:19" x14ac:dyDescent="0.3">
      <c r="A2">
        <v>1</v>
      </c>
      <c r="B2" t="s">
        <v>54</v>
      </c>
      <c r="C2" t="s">
        <v>55</v>
      </c>
      <c r="D2" s="1">
        <v>43831</v>
      </c>
      <c r="E2" s="11">
        <f>License_Table[[#This Row],[EndDate]]-License_Table[[#This Row],[StartDate]]</f>
        <v>731</v>
      </c>
      <c r="F2" s="1">
        <v>44562</v>
      </c>
      <c r="G2">
        <v>0</v>
      </c>
      <c r="I2" s="14"/>
      <c r="J2" s="14"/>
      <c r="K2" s="14"/>
      <c r="L2" s="14"/>
      <c r="M2" s="14"/>
      <c r="S2" s="11"/>
    </row>
    <row r="3" spans="1:19" x14ac:dyDescent="0.3">
      <c r="A3">
        <v>2</v>
      </c>
      <c r="B3" t="s">
        <v>54</v>
      </c>
      <c r="C3" t="s">
        <v>56</v>
      </c>
      <c r="D3" s="1">
        <v>43862</v>
      </c>
      <c r="E3" s="11">
        <f>License_Table[[#This Row],[EndDate]]-License_Table[[#This Row],[StartDate]]</f>
        <v>1504</v>
      </c>
      <c r="F3" s="1">
        <v>45366</v>
      </c>
      <c r="G3">
        <v>0</v>
      </c>
      <c r="I3" s="14" t="s">
        <v>154</v>
      </c>
      <c r="J3" s="14"/>
      <c r="K3" s="14"/>
      <c r="L3" s="14"/>
      <c r="M3" s="14"/>
      <c r="S3" s="11"/>
    </row>
    <row r="4" spans="1:19" x14ac:dyDescent="0.3">
      <c r="A4">
        <v>3</v>
      </c>
      <c r="B4" t="s">
        <v>54</v>
      </c>
      <c r="C4" t="s">
        <v>57</v>
      </c>
      <c r="D4" s="1">
        <v>43891</v>
      </c>
      <c r="E4" s="11">
        <f>License_Table[[#This Row],[EndDate]]-License_Table[[#This Row],[StartDate]]</f>
        <v>1080</v>
      </c>
      <c r="F4" s="1">
        <v>44971</v>
      </c>
      <c r="G4">
        <v>0</v>
      </c>
    </row>
    <row r="5" spans="1:19" x14ac:dyDescent="0.3">
      <c r="A5">
        <v>4</v>
      </c>
      <c r="B5" t="s">
        <v>58</v>
      </c>
      <c r="C5" t="s">
        <v>59</v>
      </c>
      <c r="D5" s="1">
        <v>43983</v>
      </c>
      <c r="E5" s="11">
        <f>License_Table[[#This Row],[EndDate]]-License_Table[[#This Row],[StartDate]]</f>
        <v>471</v>
      </c>
      <c r="F5" s="1">
        <v>44454</v>
      </c>
      <c r="G5">
        <v>0</v>
      </c>
    </row>
    <row r="6" spans="1:19" x14ac:dyDescent="0.3">
      <c r="A6">
        <v>5</v>
      </c>
      <c r="B6" t="s">
        <v>58</v>
      </c>
      <c r="C6" t="s">
        <v>60</v>
      </c>
      <c r="D6" s="1">
        <v>43984</v>
      </c>
      <c r="E6" s="11">
        <f>License_Table[[#This Row],[EndDate]]-License_Table[[#This Row],[StartDate]]</f>
        <v>470</v>
      </c>
      <c r="F6" s="1">
        <v>44454</v>
      </c>
      <c r="G6">
        <v>0</v>
      </c>
    </row>
    <row r="7" spans="1:19" x14ac:dyDescent="0.3">
      <c r="A7">
        <v>6</v>
      </c>
      <c r="B7" t="s">
        <v>58</v>
      </c>
      <c r="C7" t="s">
        <v>61</v>
      </c>
      <c r="D7" s="1">
        <v>43985</v>
      </c>
      <c r="E7" s="11">
        <f>License_Table[[#This Row],[EndDate]]-License_Table[[#This Row],[StartDate]]</f>
        <v>469</v>
      </c>
      <c r="F7" s="1">
        <v>44454</v>
      </c>
      <c r="G7">
        <v>0</v>
      </c>
    </row>
    <row r="8" spans="1:19" x14ac:dyDescent="0.3">
      <c r="A8">
        <v>7</v>
      </c>
      <c r="B8" t="s">
        <v>62</v>
      </c>
      <c r="C8" t="s">
        <v>63</v>
      </c>
      <c r="D8" s="1">
        <v>44109</v>
      </c>
      <c r="E8" s="11">
        <f>License_Table[[#This Row],[EndDate]]-License_Table[[#This Row],[StartDate]]</f>
        <v>498</v>
      </c>
      <c r="F8" s="1">
        <v>44607</v>
      </c>
      <c r="G8">
        <v>0</v>
      </c>
    </row>
    <row r="9" spans="1:19" x14ac:dyDescent="0.3">
      <c r="A9">
        <v>8</v>
      </c>
      <c r="B9" t="s">
        <v>62</v>
      </c>
      <c r="C9" t="s">
        <v>64</v>
      </c>
      <c r="D9" s="1">
        <v>44114</v>
      </c>
      <c r="E9" s="11">
        <f>License_Table[[#This Row],[EndDate]]-License_Table[[#This Row],[StartDate]]</f>
        <v>493</v>
      </c>
      <c r="F9" s="1">
        <v>44607</v>
      </c>
      <c r="G9">
        <v>0</v>
      </c>
    </row>
    <row r="10" spans="1:19" x14ac:dyDescent="0.3">
      <c r="A10">
        <v>9</v>
      </c>
      <c r="B10" t="s">
        <v>65</v>
      </c>
      <c r="C10" t="s">
        <v>66</v>
      </c>
      <c r="D10" s="1">
        <v>43845</v>
      </c>
      <c r="E10" s="11">
        <f>License_Table[[#This Row],[EndDate]]-License_Table[[#This Row],[StartDate]]</f>
        <v>352</v>
      </c>
      <c r="F10" s="1">
        <v>44197</v>
      </c>
      <c r="G10">
        <v>0</v>
      </c>
      <c r="L10" s="1"/>
      <c r="M10" s="1"/>
      <c r="N10" s="11"/>
    </row>
    <row r="11" spans="1:19" x14ac:dyDescent="0.3">
      <c r="A11">
        <v>10</v>
      </c>
      <c r="B11" t="s">
        <v>65</v>
      </c>
      <c r="C11" t="s">
        <v>67</v>
      </c>
      <c r="D11" s="1">
        <v>43876</v>
      </c>
      <c r="E11" s="11">
        <f>License_Table[[#This Row],[EndDate]]-License_Table[[#This Row],[StartDate]]</f>
        <v>352</v>
      </c>
      <c r="F11" s="1">
        <v>44228</v>
      </c>
      <c r="G11">
        <v>0</v>
      </c>
    </row>
    <row r="12" spans="1:19" x14ac:dyDescent="0.3">
      <c r="A12">
        <v>11</v>
      </c>
      <c r="B12" t="s">
        <v>72</v>
      </c>
      <c r="C12" t="s">
        <v>73</v>
      </c>
      <c r="D12" s="1">
        <v>43925</v>
      </c>
      <c r="E12" s="11">
        <f>License_Table[[#This Row],[EndDate]]-License_Table[[#This Row],[StartDate]]</f>
        <v>3048</v>
      </c>
      <c r="F12" s="1">
        <v>46973</v>
      </c>
      <c r="G12">
        <v>1</v>
      </c>
    </row>
    <row r="13" spans="1:19" x14ac:dyDescent="0.3">
      <c r="A13">
        <v>12</v>
      </c>
      <c r="B13" t="s">
        <v>72</v>
      </c>
      <c r="C13" t="s">
        <v>74</v>
      </c>
      <c r="D13" s="1">
        <v>43956</v>
      </c>
      <c r="E13" s="11">
        <f>License_Table[[#This Row],[EndDate]]-License_Table[[#This Row],[StartDate]]</f>
        <v>2683</v>
      </c>
      <c r="F13" s="1">
        <v>46639</v>
      </c>
      <c r="G13">
        <v>1</v>
      </c>
    </row>
    <row r="14" spans="1:19" x14ac:dyDescent="0.3">
      <c r="A14">
        <v>13</v>
      </c>
      <c r="B14" t="s">
        <v>92</v>
      </c>
      <c r="C14" t="s">
        <v>152</v>
      </c>
      <c r="D14" s="1">
        <v>43850</v>
      </c>
      <c r="E14" s="11">
        <f>License_Table[[#This Row],[EndDate]]-License_Table[[#This Row],[StartDate]]</f>
        <v>743</v>
      </c>
      <c r="F14" s="1">
        <v>44593</v>
      </c>
      <c r="G14">
        <v>1</v>
      </c>
    </row>
    <row r="15" spans="1:19" x14ac:dyDescent="0.3">
      <c r="A15">
        <v>14</v>
      </c>
      <c r="B15" t="s">
        <v>92</v>
      </c>
      <c r="C15" t="s">
        <v>153</v>
      </c>
      <c r="D15" s="1">
        <v>43855</v>
      </c>
      <c r="E15" s="11">
        <f>License_Table[[#This Row],[EndDate]]-License_Table[[#This Row],[StartDate]]</f>
        <v>738</v>
      </c>
      <c r="F15" s="1">
        <v>44593</v>
      </c>
      <c r="G15">
        <v>0</v>
      </c>
    </row>
    <row r="16" spans="1:19" x14ac:dyDescent="0.3">
      <c r="A16">
        <v>15</v>
      </c>
      <c r="B16" t="s">
        <v>140</v>
      </c>
      <c r="C16" t="s">
        <v>151</v>
      </c>
      <c r="D16" s="1">
        <v>44015</v>
      </c>
      <c r="E16" s="11">
        <f>License_Table[[#This Row],[EndDate]]-License_Table[[#This Row],[StartDate]]</f>
        <v>731</v>
      </c>
      <c r="F16" s="1">
        <v>44746</v>
      </c>
      <c r="G16">
        <v>1</v>
      </c>
    </row>
    <row r="17" spans="1:7" x14ac:dyDescent="0.3">
      <c r="A17">
        <v>16</v>
      </c>
      <c r="B17" t="s">
        <v>58</v>
      </c>
      <c r="C17" t="s">
        <v>143</v>
      </c>
      <c r="D17" s="1">
        <v>43984</v>
      </c>
      <c r="E17" s="11">
        <f>License_Table[[#This Row],[EndDate]]-License_Table[[#This Row],[StartDate]]</f>
        <v>488</v>
      </c>
      <c r="F17" s="1">
        <v>44472</v>
      </c>
      <c r="G17">
        <v>1</v>
      </c>
    </row>
    <row r="18" spans="1:7" x14ac:dyDescent="0.3">
      <c r="A18">
        <v>17</v>
      </c>
      <c r="B18" t="s">
        <v>58</v>
      </c>
      <c r="C18" t="s">
        <v>144</v>
      </c>
      <c r="D18" s="1">
        <v>44076</v>
      </c>
      <c r="E18" s="11">
        <f>License_Table[[#This Row],[EndDate]]-License_Table[[#This Row],[StartDate]]</f>
        <v>224</v>
      </c>
      <c r="F18" s="1">
        <v>44300</v>
      </c>
      <c r="G18">
        <v>1</v>
      </c>
    </row>
    <row r="19" spans="1:7" x14ac:dyDescent="0.3">
      <c r="A19">
        <v>18</v>
      </c>
      <c r="B19" t="s">
        <v>58</v>
      </c>
      <c r="C19" t="s">
        <v>145</v>
      </c>
      <c r="D19" s="1">
        <v>43842</v>
      </c>
      <c r="E19" s="11">
        <f>License_Table[[#This Row],[EndDate]]-License_Table[[#This Row],[StartDate]]</f>
        <v>528</v>
      </c>
      <c r="F19" s="1">
        <v>44370</v>
      </c>
      <c r="G19">
        <v>1</v>
      </c>
    </row>
    <row r="20" spans="1:7" x14ac:dyDescent="0.3">
      <c r="A20">
        <v>19</v>
      </c>
      <c r="B20" t="s">
        <v>54</v>
      </c>
      <c r="C20" t="s">
        <v>146</v>
      </c>
      <c r="D20" s="1">
        <v>43891</v>
      </c>
      <c r="E20" s="11">
        <f>License_Table[[#This Row],[EndDate]]-License_Table[[#This Row],[StartDate]]</f>
        <v>1549</v>
      </c>
      <c r="F20" s="1">
        <v>45440</v>
      </c>
      <c r="G20">
        <v>1</v>
      </c>
    </row>
    <row r="21" spans="1:7" x14ac:dyDescent="0.3">
      <c r="A21">
        <v>20</v>
      </c>
      <c r="B21" t="s">
        <v>54</v>
      </c>
      <c r="C21" t="s">
        <v>147</v>
      </c>
      <c r="D21" s="1">
        <v>44167</v>
      </c>
      <c r="E21" s="11">
        <f>License_Table[[#This Row],[EndDate]]-License_Table[[#This Row],[StartDate]]</f>
        <v>1075</v>
      </c>
      <c r="F21" s="1">
        <v>45242</v>
      </c>
      <c r="G21">
        <v>1</v>
      </c>
    </row>
    <row r="22" spans="1:7" x14ac:dyDescent="0.3">
      <c r="A22">
        <v>21</v>
      </c>
      <c r="B22" t="s">
        <v>155</v>
      </c>
      <c r="C22" t="s">
        <v>156</v>
      </c>
      <c r="D22" s="1">
        <v>44136</v>
      </c>
      <c r="E22" s="11">
        <v>49</v>
      </c>
      <c r="F22" s="1">
        <v>44185</v>
      </c>
      <c r="G22">
        <v>1</v>
      </c>
    </row>
    <row r="23" spans="1:7" x14ac:dyDescent="0.3">
      <c r="A23">
        <v>22</v>
      </c>
      <c r="B23" t="s">
        <v>157</v>
      </c>
      <c r="C23" t="s">
        <v>158</v>
      </c>
      <c r="D23" s="1">
        <v>44150</v>
      </c>
      <c r="E23" s="11">
        <v>61</v>
      </c>
      <c r="F23" s="1">
        <v>44211</v>
      </c>
      <c r="G23">
        <v>1</v>
      </c>
    </row>
    <row r="24" spans="1:7" x14ac:dyDescent="0.3">
      <c r="A24">
        <v>23</v>
      </c>
      <c r="B24" t="s">
        <v>157</v>
      </c>
      <c r="C24" t="s">
        <v>164</v>
      </c>
      <c r="D24" s="1">
        <v>44119</v>
      </c>
      <c r="E24" s="11">
        <f>License_Table[[#This Row],[EndDate]]-License_Table[[#This Row],[StartDate]]</f>
        <v>2993</v>
      </c>
      <c r="F24" s="1">
        <v>47112</v>
      </c>
      <c r="G24">
        <v>1</v>
      </c>
    </row>
    <row r="25" spans="1:7" x14ac:dyDescent="0.3">
      <c r="A25">
        <v>24</v>
      </c>
      <c r="B25" t="s">
        <v>169</v>
      </c>
      <c r="C25" t="s">
        <v>170</v>
      </c>
      <c r="D25" s="1">
        <v>43831</v>
      </c>
      <c r="E25" s="11">
        <v>3685</v>
      </c>
      <c r="F25" s="1">
        <v>47516</v>
      </c>
      <c r="G25">
        <v>1</v>
      </c>
    </row>
    <row r="26" spans="1:7" x14ac:dyDescent="0.3">
      <c r="A26">
        <v>25</v>
      </c>
      <c r="B26" t="s">
        <v>140</v>
      </c>
      <c r="C26" t="s">
        <v>182</v>
      </c>
      <c r="D26" s="1">
        <v>43831</v>
      </c>
      <c r="E26" s="11">
        <v>1</v>
      </c>
      <c r="F26" s="1">
        <v>43832</v>
      </c>
      <c r="G26">
        <v>1</v>
      </c>
    </row>
  </sheetData>
  <mergeCells count="2">
    <mergeCell ref="I1:M2"/>
    <mergeCell ref="I3:M3"/>
  </mergeCell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7DF5D-69A9-4EC4-A473-E87B5B16713A}">
  <sheetPr codeName="Sheet2"/>
  <dimension ref="A1:I16"/>
  <sheetViews>
    <sheetView workbookViewId="0">
      <selection activeCell="A17" sqref="A17:I17"/>
    </sheetView>
  </sheetViews>
  <sheetFormatPr defaultRowHeight="14.4" x14ac:dyDescent="0.3"/>
  <cols>
    <col min="1" max="1" width="10.77734375" customWidth="1"/>
    <col min="2" max="5" width="15.77734375" customWidth="1"/>
    <col min="6" max="6" width="30.77734375" customWidth="1"/>
    <col min="7" max="9" width="15.77734375" customWidth="1"/>
  </cols>
  <sheetData>
    <row r="1" spans="1:9" x14ac:dyDescent="0.3">
      <c r="A1" s="2" t="s">
        <v>0</v>
      </c>
      <c r="B1" s="3" t="s">
        <v>1</v>
      </c>
      <c r="C1" s="3" t="s">
        <v>2</v>
      </c>
      <c r="D1" s="3" t="s">
        <v>3</v>
      </c>
      <c r="E1" s="3" t="s">
        <v>4</v>
      </c>
      <c r="F1" s="3" t="s">
        <v>76</v>
      </c>
      <c r="G1" s="3" t="s">
        <v>5</v>
      </c>
      <c r="H1" s="3" t="s">
        <v>6</v>
      </c>
      <c r="I1" s="4" t="s">
        <v>70</v>
      </c>
    </row>
    <row r="2" spans="1:9" x14ac:dyDescent="0.3">
      <c r="A2">
        <v>1</v>
      </c>
      <c r="B2" t="s">
        <v>12</v>
      </c>
      <c r="C2" t="s">
        <v>14</v>
      </c>
      <c r="D2" t="s">
        <v>13</v>
      </c>
      <c r="E2" t="s">
        <v>14</v>
      </c>
      <c r="F2" s="7" t="s">
        <v>77</v>
      </c>
      <c r="G2" t="s">
        <v>20</v>
      </c>
      <c r="H2" t="s">
        <v>16</v>
      </c>
      <c r="I2">
        <v>1</v>
      </c>
    </row>
    <row r="3" spans="1:9" x14ac:dyDescent="0.3">
      <c r="A3">
        <v>2</v>
      </c>
      <c r="B3" t="s">
        <v>17</v>
      </c>
      <c r="C3" t="s">
        <v>18</v>
      </c>
      <c r="D3" t="s">
        <v>19</v>
      </c>
      <c r="E3" t="s">
        <v>14</v>
      </c>
      <c r="F3" s="7" t="s">
        <v>78</v>
      </c>
      <c r="G3" t="s">
        <v>15</v>
      </c>
      <c r="H3" t="s">
        <v>35</v>
      </c>
      <c r="I3">
        <v>1</v>
      </c>
    </row>
    <row r="4" spans="1:9" x14ac:dyDescent="0.3">
      <c r="A4">
        <v>3</v>
      </c>
      <c r="B4" t="s">
        <v>68</v>
      </c>
      <c r="C4" t="s">
        <v>75</v>
      </c>
      <c r="D4" t="s">
        <v>69</v>
      </c>
      <c r="E4" t="s">
        <v>14</v>
      </c>
      <c r="F4" s="7" t="s">
        <v>79</v>
      </c>
      <c r="G4" t="s">
        <v>15</v>
      </c>
      <c r="H4" t="s">
        <v>16</v>
      </c>
      <c r="I4">
        <v>1</v>
      </c>
    </row>
    <row r="5" spans="1:9" x14ac:dyDescent="0.3">
      <c r="A5">
        <v>4</v>
      </c>
      <c r="B5" t="s">
        <v>94</v>
      </c>
      <c r="C5" t="s">
        <v>95</v>
      </c>
      <c r="D5" t="s">
        <v>96</v>
      </c>
      <c r="E5" t="s">
        <v>97</v>
      </c>
      <c r="F5" s="7" t="s">
        <v>98</v>
      </c>
      <c r="G5" t="s">
        <v>50</v>
      </c>
      <c r="H5" t="s">
        <v>16</v>
      </c>
      <c r="I5">
        <v>0</v>
      </c>
    </row>
    <row r="6" spans="1:9" x14ac:dyDescent="0.3">
      <c r="A6">
        <v>5</v>
      </c>
      <c r="B6" t="s">
        <v>24</v>
      </c>
      <c r="C6" t="s">
        <v>25</v>
      </c>
      <c r="D6" t="s">
        <v>26</v>
      </c>
      <c r="E6" t="s">
        <v>14</v>
      </c>
      <c r="F6" s="7" t="s">
        <v>80</v>
      </c>
      <c r="G6" t="s">
        <v>14</v>
      </c>
      <c r="H6" t="s">
        <v>23</v>
      </c>
      <c r="I6">
        <v>0</v>
      </c>
    </row>
    <row r="7" spans="1:9" x14ac:dyDescent="0.3">
      <c r="A7">
        <v>6</v>
      </c>
      <c r="B7" t="s">
        <v>27</v>
      </c>
      <c r="C7" t="s">
        <v>28</v>
      </c>
      <c r="D7" t="s">
        <v>29</v>
      </c>
      <c r="E7" t="s">
        <v>14</v>
      </c>
      <c r="F7" s="7" t="s">
        <v>81</v>
      </c>
      <c r="G7" t="s">
        <v>30</v>
      </c>
      <c r="H7" t="s">
        <v>16</v>
      </c>
      <c r="I7">
        <v>1</v>
      </c>
    </row>
    <row r="8" spans="1:9" x14ac:dyDescent="0.3">
      <c r="A8">
        <v>7</v>
      </c>
      <c r="B8" t="s">
        <v>31</v>
      </c>
      <c r="C8" t="s">
        <v>32</v>
      </c>
      <c r="D8" t="s">
        <v>33</v>
      </c>
      <c r="E8" t="s">
        <v>14</v>
      </c>
      <c r="F8" s="7" t="s">
        <v>82</v>
      </c>
      <c r="G8" t="s">
        <v>34</v>
      </c>
      <c r="H8" t="s">
        <v>35</v>
      </c>
      <c r="I8">
        <v>0</v>
      </c>
    </row>
    <row r="9" spans="1:9" x14ac:dyDescent="0.3">
      <c r="A9">
        <v>8</v>
      </c>
      <c r="B9" t="s">
        <v>36</v>
      </c>
      <c r="C9" t="s">
        <v>14</v>
      </c>
      <c r="D9" t="s">
        <v>37</v>
      </c>
      <c r="E9" t="s">
        <v>14</v>
      </c>
      <c r="F9" s="7" t="s">
        <v>83</v>
      </c>
      <c r="G9" t="s">
        <v>14</v>
      </c>
      <c r="H9" t="s">
        <v>23</v>
      </c>
      <c r="I9">
        <v>0</v>
      </c>
    </row>
    <row r="10" spans="1:9" x14ac:dyDescent="0.3">
      <c r="A10">
        <v>9</v>
      </c>
      <c r="B10" t="s">
        <v>38</v>
      </c>
      <c r="C10" t="s">
        <v>40</v>
      </c>
      <c r="D10" t="s">
        <v>39</v>
      </c>
      <c r="E10" t="s">
        <v>41</v>
      </c>
      <c r="F10" s="7" t="s">
        <v>84</v>
      </c>
      <c r="G10" t="s">
        <v>42</v>
      </c>
      <c r="H10" t="s">
        <v>23</v>
      </c>
      <c r="I10">
        <v>2</v>
      </c>
    </row>
    <row r="11" spans="1:9" x14ac:dyDescent="0.3">
      <c r="A11">
        <v>10</v>
      </c>
      <c r="B11" t="s">
        <v>47</v>
      </c>
      <c r="C11" t="s">
        <v>48</v>
      </c>
      <c r="D11" t="s">
        <v>49</v>
      </c>
      <c r="E11" t="s">
        <v>14</v>
      </c>
      <c r="F11" s="7" t="s">
        <v>85</v>
      </c>
      <c r="G11" t="s">
        <v>50</v>
      </c>
      <c r="H11" t="s">
        <v>16</v>
      </c>
      <c r="I11">
        <v>2</v>
      </c>
    </row>
    <row r="12" spans="1:9" x14ac:dyDescent="0.3">
      <c r="A12">
        <v>11</v>
      </c>
      <c r="B12" t="s">
        <v>51</v>
      </c>
      <c r="C12" t="s">
        <v>52</v>
      </c>
      <c r="D12" t="s">
        <v>53</v>
      </c>
      <c r="E12" t="s">
        <v>14</v>
      </c>
      <c r="F12" s="7" t="s">
        <v>86</v>
      </c>
      <c r="G12" t="s">
        <v>21</v>
      </c>
      <c r="H12" t="s">
        <v>22</v>
      </c>
      <c r="I12">
        <v>1</v>
      </c>
    </row>
    <row r="13" spans="1:9" x14ac:dyDescent="0.3">
      <c r="A13">
        <v>12</v>
      </c>
      <c r="B13" t="s">
        <v>43</v>
      </c>
      <c r="C13" t="s">
        <v>44</v>
      </c>
      <c r="D13" t="s">
        <v>45</v>
      </c>
      <c r="E13" t="s">
        <v>14</v>
      </c>
      <c r="F13" s="7" t="s">
        <v>87</v>
      </c>
      <c r="G13" t="s">
        <v>46</v>
      </c>
      <c r="H13" t="s">
        <v>16</v>
      </c>
      <c r="I13">
        <v>1</v>
      </c>
    </row>
    <row r="14" spans="1:9" x14ac:dyDescent="0.3">
      <c r="A14">
        <v>13</v>
      </c>
      <c r="B14" t="s">
        <v>88</v>
      </c>
      <c r="C14" t="s">
        <v>89</v>
      </c>
      <c r="D14" t="s">
        <v>90</v>
      </c>
      <c r="E14" t="s">
        <v>14</v>
      </c>
      <c r="F14" s="7" t="s">
        <v>91</v>
      </c>
      <c r="G14" t="s">
        <v>50</v>
      </c>
      <c r="H14" t="s">
        <v>16</v>
      </c>
      <c r="I14">
        <v>1</v>
      </c>
    </row>
    <row r="15" spans="1:9" x14ac:dyDescent="0.3">
      <c r="A15">
        <v>14</v>
      </c>
      <c r="B15" t="s">
        <v>159</v>
      </c>
      <c r="C15" t="s">
        <v>160</v>
      </c>
      <c r="D15" t="s">
        <v>161</v>
      </c>
      <c r="E15" t="s">
        <v>14</v>
      </c>
      <c r="F15" t="s">
        <v>162</v>
      </c>
      <c r="G15" t="s">
        <v>163</v>
      </c>
      <c r="H15" t="s">
        <v>16</v>
      </c>
      <c r="I15">
        <v>0</v>
      </c>
    </row>
    <row r="16" spans="1:9" x14ac:dyDescent="0.3">
      <c r="A16">
        <v>15</v>
      </c>
      <c r="B16" t="s">
        <v>165</v>
      </c>
      <c r="C16" t="s">
        <v>166</v>
      </c>
      <c r="D16" t="s">
        <v>165</v>
      </c>
      <c r="E16" t="s">
        <v>41</v>
      </c>
      <c r="F16" t="s">
        <v>167</v>
      </c>
      <c r="G16" t="s">
        <v>168</v>
      </c>
      <c r="H16" t="s">
        <v>16</v>
      </c>
      <c r="I16">
        <v>0</v>
      </c>
    </row>
  </sheetData>
  <hyperlinks>
    <hyperlink ref="F5" r:id="rId1" xr:uid="{23ED8D52-19F0-4352-B1CE-39EF85C82626}"/>
    <hyperlink ref="F4" r:id="rId2" xr:uid="{68DBFDB1-4170-4FF0-B04D-0111BD017B37}"/>
    <hyperlink ref="F3" r:id="rId3" xr:uid="{2BFA69A9-29C2-4F9E-9E1A-E10740DE1D5B}"/>
    <hyperlink ref="F2" r:id="rId4" xr:uid="{07E85AB4-20EB-4F4D-B2C2-36A2DEB6CAFE}"/>
    <hyperlink ref="F6" r:id="rId5" xr:uid="{1D5D2A18-A3D7-43BB-BA1B-EBF1862183B5}"/>
    <hyperlink ref="F7" r:id="rId6" xr:uid="{5C5E478B-1525-4893-8182-8B2204C27578}"/>
    <hyperlink ref="F8" r:id="rId7" xr:uid="{B5678DFB-92BF-4008-8F81-52D22062F6A5}"/>
    <hyperlink ref="F9" r:id="rId8" xr:uid="{FECD1865-866B-43A5-B7B0-0E7BA5DFE3A1}"/>
    <hyperlink ref="F10" r:id="rId9" xr:uid="{E215FD77-BBCE-4A91-9ACD-B4BC3970303C}"/>
    <hyperlink ref="F11" r:id="rId10" xr:uid="{08C19957-FCF8-4C9C-90EC-3096B65F3062}"/>
    <hyperlink ref="F12" r:id="rId11" xr:uid="{E6523BA8-B525-4E3F-B6FE-92C418D4004F}"/>
    <hyperlink ref="F13" r:id="rId12" xr:uid="{B0CEBAFD-7407-48F6-9906-47C174094D20}"/>
    <hyperlink ref="F14" r:id="rId13" xr:uid="{9FD7E6BE-1504-4275-B0D9-EDF5B3BD59BB}"/>
  </hyperlinks>
  <pageMargins left="0.7" right="0.7" top="0.75" bottom="0.75" header="0.3" footer="0.3"/>
  <pageSetup orientation="portrait" r:id="rId14"/>
  <tableParts count="1">
    <tablePart r:id="rId1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220D8-190F-422D-819F-2963CB8ABE4A}">
  <sheetPr codeName="Sheet4"/>
  <dimension ref="A1:F12"/>
  <sheetViews>
    <sheetView workbookViewId="0">
      <selection activeCell="A13" sqref="A13:F13"/>
    </sheetView>
  </sheetViews>
  <sheetFormatPr defaultRowHeight="14.4" x14ac:dyDescent="0.3"/>
  <cols>
    <col min="1" max="6" width="15.77734375" customWidth="1"/>
  </cols>
  <sheetData>
    <row r="1" spans="1:6" x14ac:dyDescent="0.3">
      <c r="A1" s="2" t="s">
        <v>0</v>
      </c>
      <c r="B1" s="3" t="s">
        <v>171</v>
      </c>
      <c r="C1" s="4" t="s">
        <v>7</v>
      </c>
      <c r="D1" s="3" t="s">
        <v>172</v>
      </c>
      <c r="E1" s="3" t="s">
        <v>10</v>
      </c>
      <c r="F1" s="3" t="s">
        <v>11</v>
      </c>
    </row>
    <row r="2" spans="1:6" x14ac:dyDescent="0.3">
      <c r="A2">
        <v>1</v>
      </c>
      <c r="B2" t="s">
        <v>173</v>
      </c>
      <c r="C2">
        <v>1</v>
      </c>
      <c r="D2" t="s">
        <v>54</v>
      </c>
      <c r="E2" s="1">
        <v>43863</v>
      </c>
      <c r="F2" s="1">
        <v>43892</v>
      </c>
    </row>
    <row r="3" spans="1:6" x14ac:dyDescent="0.3">
      <c r="A3">
        <v>6</v>
      </c>
      <c r="B3" t="s">
        <v>174</v>
      </c>
      <c r="C3">
        <v>2</v>
      </c>
      <c r="D3" t="s">
        <v>54</v>
      </c>
      <c r="E3" s="1">
        <v>44089</v>
      </c>
      <c r="F3" s="1">
        <v>44119</v>
      </c>
    </row>
    <row r="4" spans="1:6" x14ac:dyDescent="0.3">
      <c r="A4">
        <v>10</v>
      </c>
      <c r="B4" t="s">
        <v>175</v>
      </c>
      <c r="C4">
        <v>3</v>
      </c>
      <c r="D4" s="12" t="s">
        <v>54</v>
      </c>
      <c r="E4" s="1">
        <v>44089</v>
      </c>
      <c r="F4" s="1">
        <v>44119</v>
      </c>
    </row>
    <row r="5" spans="1:6" x14ac:dyDescent="0.3">
      <c r="A5">
        <v>2</v>
      </c>
      <c r="B5" t="s">
        <v>176</v>
      </c>
      <c r="C5">
        <v>4</v>
      </c>
      <c r="D5" s="13" t="s">
        <v>58</v>
      </c>
      <c r="E5" s="1">
        <v>44089</v>
      </c>
      <c r="F5" s="1">
        <v>44119</v>
      </c>
    </row>
    <row r="6" spans="1:6" x14ac:dyDescent="0.3">
      <c r="A6">
        <v>3</v>
      </c>
      <c r="B6" t="s">
        <v>177</v>
      </c>
      <c r="C6">
        <v>5</v>
      </c>
      <c r="D6" s="12" t="s">
        <v>58</v>
      </c>
      <c r="E6" s="1">
        <v>44089</v>
      </c>
      <c r="F6" s="1">
        <v>44119</v>
      </c>
    </row>
    <row r="7" spans="1:6" x14ac:dyDescent="0.3">
      <c r="A7">
        <v>9</v>
      </c>
      <c r="B7" t="s">
        <v>178</v>
      </c>
      <c r="C7">
        <v>6</v>
      </c>
      <c r="D7" s="13" t="s">
        <v>58</v>
      </c>
      <c r="E7" s="1">
        <v>44089</v>
      </c>
      <c r="F7" s="1">
        <v>44119</v>
      </c>
    </row>
    <row r="8" spans="1:6" x14ac:dyDescent="0.3">
      <c r="A8">
        <v>10</v>
      </c>
      <c r="B8" t="s">
        <v>175</v>
      </c>
      <c r="C8">
        <v>7</v>
      </c>
      <c r="D8" s="12" t="s">
        <v>62</v>
      </c>
      <c r="E8" s="1">
        <v>44150</v>
      </c>
      <c r="F8" s="1">
        <v>44180</v>
      </c>
    </row>
    <row r="9" spans="1:6" x14ac:dyDescent="0.3">
      <c r="A9">
        <v>11</v>
      </c>
      <c r="B9" t="s">
        <v>179</v>
      </c>
      <c r="C9">
        <v>8</v>
      </c>
      <c r="D9" s="13" t="s">
        <v>62</v>
      </c>
      <c r="E9" s="1">
        <v>44150</v>
      </c>
      <c r="F9" s="1">
        <v>44180</v>
      </c>
    </row>
    <row r="10" spans="1:6" x14ac:dyDescent="0.3">
      <c r="A10">
        <v>9</v>
      </c>
      <c r="B10" t="s">
        <v>178</v>
      </c>
      <c r="C10">
        <v>9</v>
      </c>
      <c r="D10" s="12" t="s">
        <v>65</v>
      </c>
      <c r="E10" s="1">
        <v>44089</v>
      </c>
      <c r="F10" s="1">
        <v>44119</v>
      </c>
    </row>
    <row r="11" spans="1:6" x14ac:dyDescent="0.3">
      <c r="A11">
        <v>12</v>
      </c>
      <c r="B11" t="s">
        <v>180</v>
      </c>
      <c r="C11">
        <v>10</v>
      </c>
      <c r="D11" s="13" t="s">
        <v>65</v>
      </c>
      <c r="E11" s="1">
        <v>44089</v>
      </c>
      <c r="F11" s="1">
        <v>44119</v>
      </c>
    </row>
    <row r="12" spans="1:6" x14ac:dyDescent="0.3">
      <c r="A12">
        <v>13</v>
      </c>
      <c r="B12" t="s">
        <v>181</v>
      </c>
      <c r="C12">
        <v>14</v>
      </c>
      <c r="D12" t="s">
        <v>92</v>
      </c>
      <c r="E12" s="1">
        <v>44089</v>
      </c>
      <c r="F12" s="1">
        <v>44119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B0A44-E9EB-479C-88E9-863C4B3B0CA6}">
  <sheetPr codeName="Sheet5"/>
  <dimension ref="A1:M13"/>
  <sheetViews>
    <sheetView zoomScale="70" zoomScaleNormal="70" workbookViewId="0">
      <selection activeCell="A6" sqref="A6"/>
    </sheetView>
  </sheetViews>
  <sheetFormatPr defaultRowHeight="14.4" x14ac:dyDescent="0.3"/>
  <cols>
    <col min="1" max="1" width="14.6640625" bestFit="1" customWidth="1"/>
    <col min="2" max="2" width="17.109375" bestFit="1" customWidth="1"/>
    <col min="4" max="4" width="13.88671875" bestFit="1" customWidth="1"/>
    <col min="5" max="5" width="17.109375" bestFit="1" customWidth="1"/>
    <col min="7" max="7" width="17.109375" bestFit="1" customWidth="1"/>
    <col min="8" max="8" width="15.77734375" bestFit="1" customWidth="1"/>
    <col min="9" max="9" width="20.109375" bestFit="1" customWidth="1"/>
    <col min="11" max="11" width="13.88671875" bestFit="1" customWidth="1"/>
    <col min="12" max="12" width="16.88671875" bestFit="1" customWidth="1"/>
    <col min="15" max="28" width="16.77734375" bestFit="1" customWidth="1"/>
    <col min="29" max="29" width="11.109375" bestFit="1" customWidth="1"/>
    <col min="30" max="30" width="7.109375" bestFit="1" customWidth="1"/>
    <col min="31" max="31" width="8" bestFit="1" customWidth="1"/>
    <col min="32" max="32" width="8.21875" bestFit="1" customWidth="1"/>
    <col min="33" max="33" width="9" bestFit="1" customWidth="1"/>
    <col min="34" max="34" width="8.21875" bestFit="1" customWidth="1"/>
    <col min="35" max="35" width="8.88671875" bestFit="1" customWidth="1"/>
    <col min="36" max="36" width="8.21875" bestFit="1" customWidth="1"/>
    <col min="37" max="37" width="9" bestFit="1" customWidth="1"/>
    <col min="38" max="39" width="11.109375" bestFit="1" customWidth="1"/>
    <col min="40" max="40" width="9.109375" bestFit="1" customWidth="1"/>
    <col min="41" max="41" width="12.33203125" bestFit="1" customWidth="1"/>
    <col min="42" max="42" width="9.21875" bestFit="1" customWidth="1"/>
    <col min="43" max="43" width="12.44140625" bestFit="1" customWidth="1"/>
    <col min="44" max="44" width="9.21875" bestFit="1" customWidth="1"/>
    <col min="45" max="45" width="12.44140625" bestFit="1" customWidth="1"/>
    <col min="46" max="46" width="9.44140625" bestFit="1" customWidth="1"/>
    <col min="47" max="47" width="12.6640625" bestFit="1" customWidth="1"/>
    <col min="48" max="48" width="9.44140625" bestFit="1" customWidth="1"/>
    <col min="49" max="49" width="12.6640625" bestFit="1" customWidth="1"/>
    <col min="50" max="50" width="9.33203125" bestFit="1" customWidth="1"/>
    <col min="51" max="51" width="12.6640625" bestFit="1" customWidth="1"/>
    <col min="52" max="52" width="9.33203125" bestFit="1" customWidth="1"/>
    <col min="53" max="53" width="12.6640625" bestFit="1" customWidth="1"/>
    <col min="54" max="54" width="10.33203125" bestFit="1" customWidth="1"/>
    <col min="55" max="55" width="13.5546875" bestFit="1" customWidth="1"/>
    <col min="56" max="56" width="11.109375" bestFit="1" customWidth="1"/>
    <col min="57" max="57" width="7" bestFit="1" customWidth="1"/>
    <col min="58" max="58" width="9.33203125" bestFit="1" customWidth="1"/>
    <col min="59" max="59" width="9.6640625" bestFit="1" customWidth="1"/>
    <col min="60" max="60" width="8.5546875" bestFit="1" customWidth="1"/>
    <col min="61" max="61" width="7" bestFit="1" customWidth="1"/>
    <col min="62" max="62" width="9.33203125" bestFit="1" customWidth="1"/>
    <col min="63" max="63" width="9.6640625" bestFit="1" customWidth="1"/>
    <col min="64" max="64" width="8.77734375" bestFit="1" customWidth="1"/>
    <col min="65" max="65" width="10.77734375" bestFit="1" customWidth="1"/>
  </cols>
  <sheetData>
    <row r="1" spans="1:13" x14ac:dyDescent="0.3">
      <c r="A1" s="5" t="s">
        <v>104</v>
      </c>
      <c r="B1" t="s">
        <v>93</v>
      </c>
      <c r="D1" s="5" t="s">
        <v>104</v>
      </c>
      <c r="E1" t="s">
        <v>93</v>
      </c>
      <c r="G1" s="5" t="s">
        <v>104</v>
      </c>
      <c r="H1" t="s">
        <v>148</v>
      </c>
      <c r="I1" t="s">
        <v>149</v>
      </c>
      <c r="K1" s="5" t="s">
        <v>104</v>
      </c>
      <c r="L1" t="s">
        <v>141</v>
      </c>
    </row>
    <row r="2" spans="1:13" x14ac:dyDescent="0.3">
      <c r="A2" s="8" t="s">
        <v>16</v>
      </c>
      <c r="B2" s="6">
        <v>7</v>
      </c>
      <c r="D2" s="8" t="s">
        <v>50</v>
      </c>
      <c r="E2" s="6">
        <v>3</v>
      </c>
      <c r="G2" s="8" t="s">
        <v>58</v>
      </c>
      <c r="H2" s="6">
        <v>3</v>
      </c>
      <c r="I2" s="6">
        <v>6</v>
      </c>
      <c r="K2" s="8">
        <v>1</v>
      </c>
      <c r="L2" s="6">
        <v>14</v>
      </c>
      <c r="M2" s="10">
        <f>GETPIVOTDATA("Available",$K$1,"Available",1)/GETPIVOTDATA("Available",$K$1)</f>
        <v>0.56000000000000005</v>
      </c>
    </row>
    <row r="3" spans="1:13" x14ac:dyDescent="0.3">
      <c r="A3" s="8" t="s">
        <v>22</v>
      </c>
      <c r="B3" s="6">
        <v>1</v>
      </c>
      <c r="D3" s="8" t="s">
        <v>20</v>
      </c>
      <c r="E3" s="6">
        <v>1</v>
      </c>
      <c r="G3" s="8" t="s">
        <v>72</v>
      </c>
      <c r="H3" s="6">
        <v>2</v>
      </c>
      <c r="I3" s="6">
        <v>2</v>
      </c>
      <c r="K3" s="8">
        <v>0</v>
      </c>
      <c r="L3" s="6">
        <v>11</v>
      </c>
    </row>
    <row r="4" spans="1:13" x14ac:dyDescent="0.3">
      <c r="A4" s="8" t="s">
        <v>23</v>
      </c>
      <c r="B4" s="6">
        <v>2</v>
      </c>
      <c r="D4" s="8" t="s">
        <v>15</v>
      </c>
      <c r="E4" s="6">
        <v>2</v>
      </c>
      <c r="G4" s="8" t="s">
        <v>54</v>
      </c>
      <c r="H4" s="6">
        <v>2</v>
      </c>
      <c r="I4" s="6">
        <v>5</v>
      </c>
      <c r="K4" s="8" t="s">
        <v>103</v>
      </c>
      <c r="L4" s="6">
        <v>25</v>
      </c>
    </row>
    <row r="5" spans="1:13" x14ac:dyDescent="0.3">
      <c r="A5" s="8" t="s">
        <v>35</v>
      </c>
      <c r="B5" s="6">
        <v>1</v>
      </c>
      <c r="D5" s="8" t="s">
        <v>46</v>
      </c>
      <c r="E5" s="6">
        <v>1</v>
      </c>
      <c r="G5" s="8" t="s">
        <v>92</v>
      </c>
      <c r="H5" s="6">
        <v>1</v>
      </c>
      <c r="I5" s="6">
        <v>2</v>
      </c>
    </row>
    <row r="6" spans="1:13" x14ac:dyDescent="0.3">
      <c r="A6" s="8" t="s">
        <v>103</v>
      </c>
      <c r="B6" s="6">
        <v>11</v>
      </c>
      <c r="D6" s="8" t="s">
        <v>34</v>
      </c>
      <c r="E6" s="6">
        <v>0</v>
      </c>
      <c r="G6" s="8" t="s">
        <v>140</v>
      </c>
      <c r="H6" s="6">
        <v>2</v>
      </c>
      <c r="I6" s="6">
        <v>2</v>
      </c>
    </row>
    <row r="7" spans="1:13" x14ac:dyDescent="0.3">
      <c r="D7" s="8" t="s">
        <v>30</v>
      </c>
      <c r="E7" s="6">
        <v>1</v>
      </c>
      <c r="G7" s="8" t="s">
        <v>62</v>
      </c>
      <c r="H7" s="6">
        <v>0</v>
      </c>
      <c r="I7" s="6">
        <v>2</v>
      </c>
    </row>
    <row r="8" spans="1:13" x14ac:dyDescent="0.3">
      <c r="D8" s="8" t="s">
        <v>21</v>
      </c>
      <c r="E8" s="6">
        <v>1</v>
      </c>
      <c r="G8" s="8" t="s">
        <v>65</v>
      </c>
      <c r="H8" s="6">
        <v>0</v>
      </c>
      <c r="I8" s="6">
        <v>2</v>
      </c>
    </row>
    <row r="9" spans="1:13" x14ac:dyDescent="0.3">
      <c r="D9" s="8" t="s">
        <v>14</v>
      </c>
      <c r="E9" s="6">
        <v>0</v>
      </c>
      <c r="G9" s="8" t="s">
        <v>155</v>
      </c>
      <c r="H9" s="6">
        <v>1</v>
      </c>
      <c r="I9" s="6">
        <v>1</v>
      </c>
    </row>
    <row r="10" spans="1:13" x14ac:dyDescent="0.3">
      <c r="D10" s="8" t="s">
        <v>42</v>
      </c>
      <c r="E10" s="6">
        <v>2</v>
      </c>
      <c r="G10" s="8" t="s">
        <v>157</v>
      </c>
      <c r="H10" s="6">
        <v>2</v>
      </c>
      <c r="I10" s="6">
        <v>2</v>
      </c>
    </row>
    <row r="11" spans="1:13" x14ac:dyDescent="0.3">
      <c r="D11" s="8" t="s">
        <v>163</v>
      </c>
      <c r="E11" s="6">
        <v>0</v>
      </c>
      <c r="G11" s="8" t="s">
        <v>169</v>
      </c>
      <c r="H11" s="6">
        <v>1</v>
      </c>
      <c r="I11" s="6">
        <v>1</v>
      </c>
    </row>
    <row r="12" spans="1:13" x14ac:dyDescent="0.3">
      <c r="D12" s="8" t="s">
        <v>168</v>
      </c>
      <c r="E12" s="6">
        <v>0</v>
      </c>
      <c r="G12" s="8" t="s">
        <v>103</v>
      </c>
      <c r="H12" s="6">
        <v>14</v>
      </c>
      <c r="I12" s="6">
        <v>25</v>
      </c>
    </row>
    <row r="13" spans="1:13" x14ac:dyDescent="0.3">
      <c r="D13" s="8" t="s">
        <v>103</v>
      </c>
      <c r="E13" s="6">
        <v>11</v>
      </c>
    </row>
  </sheetData>
  <pageMargins left="0.7" right="0.7" top="0.75" bottom="0.75" header="0.3" footer="0.3"/>
  <pageSetup orientation="portrait"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9102A-866D-4190-B720-49B86402C289}">
  <sheetPr codeName="Sheet6"/>
  <dimension ref="A1:AE10"/>
  <sheetViews>
    <sheetView workbookViewId="0">
      <selection activeCell="AG1" sqref="AG1"/>
    </sheetView>
  </sheetViews>
  <sheetFormatPr defaultRowHeight="14.4" x14ac:dyDescent="0.3"/>
  <cols>
    <col min="1" max="7" width="10.44140625" customWidth="1"/>
    <col min="9" max="9" width="8.6640625" customWidth="1"/>
    <col min="10" max="10" width="12.5546875" bestFit="1" customWidth="1"/>
    <col min="11" max="11" width="14.88671875" bestFit="1" customWidth="1"/>
    <col min="13" max="13" width="14.88671875" bestFit="1" customWidth="1"/>
    <col min="14" max="14" width="15.5546875" bestFit="1" customWidth="1"/>
    <col min="15" max="15" width="6.33203125" bestFit="1" customWidth="1"/>
    <col min="16" max="16" width="9" bestFit="1" customWidth="1"/>
    <col min="17" max="17" width="14.33203125" bestFit="1" customWidth="1"/>
    <col min="18" max="18" width="8.44140625" bestFit="1" customWidth="1"/>
    <col min="19" max="19" width="12.109375" bestFit="1" customWidth="1"/>
    <col min="20" max="20" width="13.44140625" bestFit="1" customWidth="1"/>
    <col min="21" max="21" width="11.88671875" bestFit="1" customWidth="1"/>
    <col min="22" max="22" width="10.33203125" bestFit="1" customWidth="1"/>
    <col min="23" max="23" width="10.77734375" bestFit="1" customWidth="1"/>
    <col min="25" max="25" width="12.5546875" bestFit="1" customWidth="1"/>
    <col min="26" max="26" width="16.21875" bestFit="1" customWidth="1"/>
    <col min="29" max="29" width="12.5546875" bestFit="1" customWidth="1"/>
    <col min="30" max="30" width="16.21875" bestFit="1" customWidth="1"/>
  </cols>
  <sheetData>
    <row r="1" spans="1:31" x14ac:dyDescent="0.3">
      <c r="A1" t="s">
        <v>99</v>
      </c>
      <c r="B1" t="s">
        <v>121</v>
      </c>
      <c r="C1" t="s">
        <v>100</v>
      </c>
      <c r="D1" t="s">
        <v>137</v>
      </c>
      <c r="E1" t="s">
        <v>133</v>
      </c>
      <c r="F1" t="s">
        <v>101</v>
      </c>
      <c r="G1" t="s">
        <v>102</v>
      </c>
      <c r="H1" t="s">
        <v>105</v>
      </c>
      <c r="J1" s="5" t="s">
        <v>104</v>
      </c>
      <c r="K1" t="s">
        <v>120</v>
      </c>
      <c r="N1" s="5" t="s">
        <v>125</v>
      </c>
      <c r="Y1" s="5" t="s">
        <v>104</v>
      </c>
      <c r="Z1" t="s">
        <v>136</v>
      </c>
      <c r="AC1" s="5" t="s">
        <v>104</v>
      </c>
      <c r="AD1" t="s">
        <v>136</v>
      </c>
    </row>
    <row r="2" spans="1:31" x14ac:dyDescent="0.3">
      <c r="A2" s="1">
        <v>42736</v>
      </c>
      <c r="B2" s="1" t="s">
        <v>122</v>
      </c>
      <c r="C2" t="s">
        <v>106</v>
      </c>
      <c r="D2" t="s">
        <v>138</v>
      </c>
      <c r="E2" t="s">
        <v>134</v>
      </c>
      <c r="F2">
        <v>1.99</v>
      </c>
      <c r="G2">
        <v>125</v>
      </c>
      <c r="H2">
        <f>Data_Table[[#This Row],[Price]]*Data_Table[[#This Row],[Unites]]</f>
        <v>248.75</v>
      </c>
      <c r="J2" s="8" t="s">
        <v>115</v>
      </c>
      <c r="K2" s="6">
        <v>746.75</v>
      </c>
      <c r="N2" t="s">
        <v>123</v>
      </c>
      <c r="O2" t="s">
        <v>124</v>
      </c>
      <c r="P2" t="s">
        <v>122</v>
      </c>
      <c r="Q2" t="s">
        <v>127</v>
      </c>
      <c r="R2" t="s">
        <v>128</v>
      </c>
      <c r="S2" t="s">
        <v>129</v>
      </c>
      <c r="T2" t="s">
        <v>130</v>
      </c>
      <c r="U2" t="s">
        <v>131</v>
      </c>
      <c r="V2" t="s">
        <v>132</v>
      </c>
      <c r="W2" t="s">
        <v>103</v>
      </c>
      <c r="Y2" s="8" t="s">
        <v>134</v>
      </c>
      <c r="Z2" s="6">
        <v>6</v>
      </c>
      <c r="AA2" s="10">
        <f>GETPIVOTDATA("Revenue",$Y$1,"Delivery","Delayed")/GETPIVOTDATA("Revenue",$Y$1)</f>
        <v>0.33333333333333331</v>
      </c>
      <c r="AC2" s="8" t="s">
        <v>138</v>
      </c>
      <c r="AD2" s="6">
        <v>5</v>
      </c>
      <c r="AE2" s="10">
        <f>GETPIVOTDATA("Revenue",$AC$1,"Return","No")/GETPIVOTDATA("Revenue",$AC$1)</f>
        <v>0.44444444444444442</v>
      </c>
    </row>
    <row r="3" spans="1:31" x14ac:dyDescent="0.3">
      <c r="A3" s="1">
        <v>42737</v>
      </c>
      <c r="B3" s="1" t="s">
        <v>124</v>
      </c>
      <c r="C3" t="s">
        <v>107</v>
      </c>
      <c r="D3" t="s">
        <v>138</v>
      </c>
      <c r="E3" t="s">
        <v>135</v>
      </c>
      <c r="F3">
        <v>2.4900000000000002</v>
      </c>
      <c r="G3">
        <v>200</v>
      </c>
      <c r="H3">
        <f>Data_Table[[#This Row],[Price]]*Data_Table[[#This Row],[Unites]]</f>
        <v>498.00000000000006</v>
      </c>
      <c r="J3" s="8" t="s">
        <v>116</v>
      </c>
      <c r="K3" s="6">
        <v>1094.5</v>
      </c>
      <c r="M3" t="s">
        <v>120</v>
      </c>
      <c r="N3" s="6">
        <v>698</v>
      </c>
      <c r="O3" s="6">
        <v>498.00000000000006</v>
      </c>
      <c r="P3" s="6">
        <v>248.75</v>
      </c>
      <c r="Q3" s="6">
        <v>1094.5</v>
      </c>
      <c r="R3" s="6">
        <v>599.4</v>
      </c>
      <c r="S3" s="6">
        <v>299.40000000000003</v>
      </c>
      <c r="T3" s="6">
        <v>811.25</v>
      </c>
      <c r="U3" s="6">
        <v>449.25</v>
      </c>
      <c r="V3" s="6">
        <v>584.54999999999995</v>
      </c>
      <c r="W3" s="6">
        <v>5283.1</v>
      </c>
      <c r="Y3" s="8" t="s">
        <v>135</v>
      </c>
      <c r="Z3" s="6">
        <v>3</v>
      </c>
      <c r="AA3" s="10">
        <f>GETPIVOTDATA("Revenue",$Y$1,"Delivery","On-time")/GETPIVOTDATA("Revenue",$Y$1)</f>
        <v>0.66666666666666663</v>
      </c>
      <c r="AC3" s="8" t="s">
        <v>139</v>
      </c>
      <c r="AD3" s="6">
        <v>4</v>
      </c>
      <c r="AE3" s="10">
        <f>GETPIVOTDATA("Revenue",$AC$1,"Return","Yes")/GETPIVOTDATA("Revenue",$AC$1)</f>
        <v>0.55555555555555558</v>
      </c>
    </row>
    <row r="4" spans="1:31" x14ac:dyDescent="0.3">
      <c r="A4" s="1">
        <v>42795</v>
      </c>
      <c r="B4" s="1" t="s">
        <v>127</v>
      </c>
      <c r="C4" t="s">
        <v>108</v>
      </c>
      <c r="D4" t="s">
        <v>138</v>
      </c>
      <c r="E4" t="s">
        <v>134</v>
      </c>
      <c r="F4">
        <v>1.99</v>
      </c>
      <c r="G4">
        <v>550</v>
      </c>
      <c r="H4">
        <f>Data_Table[[#This Row],[Price]]*Data_Table[[#This Row],[Unites]]</f>
        <v>1094.5</v>
      </c>
      <c r="J4" s="8" t="s">
        <v>117</v>
      </c>
      <c r="K4" s="6">
        <v>1183.9499999999998</v>
      </c>
      <c r="Y4" s="8" t="s">
        <v>103</v>
      </c>
      <c r="Z4" s="6">
        <v>9</v>
      </c>
      <c r="AC4" s="8" t="s">
        <v>103</v>
      </c>
      <c r="AD4" s="6">
        <v>9</v>
      </c>
    </row>
    <row r="5" spans="1:31" x14ac:dyDescent="0.3">
      <c r="A5" s="1">
        <v>42826</v>
      </c>
      <c r="B5" s="1" t="s">
        <v>128</v>
      </c>
      <c r="C5" t="s">
        <v>109</v>
      </c>
      <c r="D5" t="s">
        <v>139</v>
      </c>
      <c r="E5" t="s">
        <v>134</v>
      </c>
      <c r="F5">
        <v>9.99</v>
      </c>
      <c r="G5">
        <v>60</v>
      </c>
      <c r="H5">
        <f>Data_Table[[#This Row],[Price]]*Data_Table[[#This Row],[Unites]]</f>
        <v>599.4</v>
      </c>
      <c r="J5" s="8" t="s">
        <v>118</v>
      </c>
      <c r="K5" s="6">
        <v>997.40000000000009</v>
      </c>
      <c r="N5" s="9" t="s">
        <v>123</v>
      </c>
      <c r="O5" s="9" t="s">
        <v>124</v>
      </c>
      <c r="P5" s="9" t="s">
        <v>122</v>
      </c>
      <c r="Q5" s="9" t="s">
        <v>127</v>
      </c>
      <c r="R5" s="9" t="s">
        <v>128</v>
      </c>
      <c r="S5" s="9" t="s">
        <v>129</v>
      </c>
      <c r="T5" s="9" t="s">
        <v>130</v>
      </c>
      <c r="U5" s="9" t="s">
        <v>131</v>
      </c>
      <c r="V5" s="9" t="s">
        <v>132</v>
      </c>
    </row>
    <row r="6" spans="1:31" x14ac:dyDescent="0.3">
      <c r="A6" s="1">
        <v>42848</v>
      </c>
      <c r="B6" s="1" t="s">
        <v>132</v>
      </c>
      <c r="C6" t="s">
        <v>110</v>
      </c>
      <c r="D6" t="s">
        <v>138</v>
      </c>
      <c r="E6" t="s">
        <v>135</v>
      </c>
      <c r="F6">
        <v>12.99</v>
      </c>
      <c r="G6">
        <v>45</v>
      </c>
      <c r="H6">
        <f>Data_Table[[#This Row],[Price]]*Data_Table[[#This Row],[Unites]]</f>
        <v>584.54999999999995</v>
      </c>
      <c r="J6" s="8" t="s">
        <v>119</v>
      </c>
      <c r="K6" s="6">
        <v>1260.5</v>
      </c>
      <c r="M6" t="s">
        <v>126</v>
      </c>
      <c r="N6">
        <f>GETPIVOTDATA("Revenue",$M$1,"Location","Connecticut")</f>
        <v>698</v>
      </c>
      <c r="O6">
        <f>GETPIVOTDATA("Revenue",$M$1,"Location","Maine")</f>
        <v>498.00000000000006</v>
      </c>
      <c r="P6">
        <f>GETPIVOTDATA("Revenue",$M$1,"Location","New York")</f>
        <v>248.75</v>
      </c>
      <c r="Q6">
        <f>GETPIVOTDATA("Revenue",$M$1,"Location","New Hampshire")</f>
        <v>1094.5</v>
      </c>
      <c r="R6">
        <f>GETPIVOTDATA("Revenue",$M$1,"Location","Vermont")</f>
        <v>599.4</v>
      </c>
      <c r="S6">
        <f>GETPIVOTDATA("Revenue",$M$1,"Location","Pennsylvania")</f>
        <v>299.40000000000003</v>
      </c>
      <c r="T6">
        <f>GETPIVOTDATA("Revenue",$M$1,"Location","Massachusetts")</f>
        <v>811.25</v>
      </c>
      <c r="U6">
        <f>GETPIVOTDATA("Revenue",$M$1,"Location","Massachusetts")</f>
        <v>811.25</v>
      </c>
      <c r="V6">
        <f>GETPIVOTDATA("Revenue",$M$1,"Location","Rhode Island")</f>
        <v>449.25</v>
      </c>
    </row>
    <row r="7" spans="1:31" x14ac:dyDescent="0.3">
      <c r="A7" s="1">
        <v>42857</v>
      </c>
      <c r="B7" s="1" t="s">
        <v>129</v>
      </c>
      <c r="C7" t="s">
        <v>111</v>
      </c>
      <c r="D7" t="s">
        <v>139</v>
      </c>
      <c r="E7" t="s">
        <v>135</v>
      </c>
      <c r="F7">
        <v>4.99</v>
      </c>
      <c r="G7">
        <v>60</v>
      </c>
      <c r="H7">
        <f>Data_Table[[#This Row],[Price]]*Data_Table[[#This Row],[Unites]]</f>
        <v>299.40000000000003</v>
      </c>
      <c r="J7" s="8" t="s">
        <v>103</v>
      </c>
      <c r="K7" s="6">
        <v>5283.1</v>
      </c>
    </row>
    <row r="8" spans="1:31" x14ac:dyDescent="0.3">
      <c r="A8" s="1">
        <v>42877</v>
      </c>
      <c r="B8" s="1" t="s">
        <v>123</v>
      </c>
      <c r="C8" t="s">
        <v>112</v>
      </c>
      <c r="D8" t="s">
        <v>138</v>
      </c>
      <c r="E8" t="s">
        <v>134</v>
      </c>
      <c r="F8">
        <v>3.49</v>
      </c>
      <c r="G8">
        <v>200</v>
      </c>
      <c r="H8">
        <f>Data_Table[[#This Row],[Price]]*Data_Table[[#This Row],[Unites]]</f>
        <v>698</v>
      </c>
    </row>
    <row r="9" spans="1:31" x14ac:dyDescent="0.3">
      <c r="A9" s="1">
        <v>42891</v>
      </c>
      <c r="B9" s="1" t="s">
        <v>130</v>
      </c>
      <c r="C9" t="s">
        <v>113</v>
      </c>
      <c r="D9" t="s">
        <v>139</v>
      </c>
      <c r="E9" t="s">
        <v>134</v>
      </c>
      <c r="F9">
        <v>6.49</v>
      </c>
      <c r="G9">
        <v>125</v>
      </c>
      <c r="H9">
        <f>Data_Table[[#This Row],[Price]]*Data_Table[[#This Row],[Unites]]</f>
        <v>811.25</v>
      </c>
    </row>
    <row r="10" spans="1:31" x14ac:dyDescent="0.3">
      <c r="A10" s="1">
        <v>42898</v>
      </c>
      <c r="B10" s="1" t="s">
        <v>131</v>
      </c>
      <c r="C10" t="s">
        <v>114</v>
      </c>
      <c r="D10" t="s">
        <v>139</v>
      </c>
      <c r="E10" t="s">
        <v>134</v>
      </c>
      <c r="F10">
        <v>5.99</v>
      </c>
      <c r="G10">
        <v>75</v>
      </c>
      <c r="H10">
        <f>Data_Table[[#This Row],[Price]]*Data_Table[[#This Row],[Unites]]</f>
        <v>449.25</v>
      </c>
    </row>
  </sheetData>
  <pageMargins left="0.7" right="0.7" top="0.75" bottom="0.75" header="0.3" footer="0.3"/>
  <drawing r:id="rId5"/>
  <tableParts count="1">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4C202AEC-9F94-4645-AB3B-EAB72A219B94}">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A747AF80-D051-4B61-A29B-CD3876B157A5}">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Licenses</vt:lpstr>
      <vt:lpstr>Users</vt:lpstr>
      <vt:lpstr>Assignments</vt:lpstr>
      <vt:lpstr>PivotTables</vt:lpstr>
      <vt:lpstr>Sample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z3r0</dc:creator>
  <cp:lastModifiedBy>Nightwing</cp:lastModifiedBy>
  <dcterms:created xsi:type="dcterms:W3CDTF">2015-06-05T18:17:20Z</dcterms:created>
  <dcterms:modified xsi:type="dcterms:W3CDTF">2020-10-19T12:51:39Z</dcterms:modified>
</cp:coreProperties>
</file>